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marvell-my.sharepoint.com/personal/hsaini_marvell_com/Documents/Documents/Personal/Standards_AND_Framework/"/>
    </mc:Choice>
  </mc:AlternateContent>
  <xr:revisionPtr revIDLastSave="0" documentId="8_{D778FBEB-9E85-8242-8301-C75A212F3966}" xr6:coauthVersionLast="47" xr6:coauthVersionMax="47" xr10:uidLastSave="{00000000-0000-0000-0000-000000000000}"/>
  <bookViews>
    <workbookView xWindow="34560" yWindow="-4820" windowWidth="51200" windowHeight="28800" activeTab="1" xr2:uid="{00000000-000D-0000-FFFF-FFFF00000000}"/>
  </bookViews>
  <sheets>
    <sheet name="INSTRUCTIONS" sheetId="11" r:id="rId1"/>
    <sheet name="Checklist" sheetId="1" r:id="rId2"/>
    <sheet name="Control_Description" sheetId="12" r:id="rId3"/>
    <sheet name="Ref_Applicable" sheetId="2" state="hidden" r:id="rId4"/>
    <sheet name="Ref_UseCases" sheetId="3" r:id="rId5"/>
    <sheet name="Ref_Priority" sheetId="4" state="hidden" r:id="rId6"/>
    <sheet name="Ref_Frequency" sheetId="5" r:id="rId7"/>
    <sheet name="Ref_Status" sheetId="6" state="hidden" r:id="rId8"/>
    <sheet name="Ref_Approval" sheetId="7" state="hidden" r:id="rId9"/>
    <sheet name="Ref_YesNo" sheetId="8" state="hidden" r:id="rId10"/>
  </sheets>
  <definedNames>
    <definedName name="_xlnm._FilterDatabase" localSheetId="1" hidden="1">Checklist!$A$1:$AA$121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Y3" i="1" s="1"/>
  <c r="X4" i="1"/>
  <c r="Y4" i="1" s="1"/>
  <c r="X5" i="1"/>
  <c r="Y5" i="1" s="1"/>
  <c r="X6" i="1"/>
  <c r="Y6" i="1" s="1"/>
  <c r="X7" i="1"/>
  <c r="Y7" i="1" s="1"/>
  <c r="X8" i="1"/>
  <c r="Y8" i="1" s="1"/>
  <c r="X9" i="1"/>
  <c r="Y9" i="1" s="1"/>
  <c r="X10" i="1"/>
  <c r="Y10" i="1" s="1"/>
  <c r="X11" i="1"/>
  <c r="Y11" i="1" s="1"/>
  <c r="X12" i="1"/>
  <c r="Y12" i="1" s="1"/>
  <c r="X13" i="1"/>
  <c r="Y13" i="1" s="1"/>
  <c r="X14" i="1"/>
  <c r="Y14" i="1" s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 s="1"/>
  <c r="X21" i="1"/>
  <c r="Y21" i="1" s="1"/>
  <c r="X22" i="1"/>
  <c r="Y22" i="1" s="1"/>
  <c r="X23" i="1"/>
  <c r="Y23" i="1" s="1"/>
  <c r="X24" i="1"/>
  <c r="Y24" i="1" s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Y34" i="1" s="1"/>
  <c r="X35" i="1"/>
  <c r="Y35" i="1" s="1"/>
  <c r="X36" i="1"/>
  <c r="Y36" i="1" s="1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Y44" i="1" s="1"/>
  <c r="X45" i="1"/>
  <c r="Y45" i="1" s="1"/>
  <c r="X46" i="1"/>
  <c r="Y46" i="1" s="1"/>
  <c r="X47" i="1"/>
  <c r="Y47" i="1" s="1"/>
  <c r="X48" i="1"/>
  <c r="Y48" i="1" s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Y58" i="1" s="1"/>
  <c r="X59" i="1"/>
  <c r="Y59" i="1" s="1"/>
  <c r="X60" i="1"/>
  <c r="Y60" i="1" s="1"/>
  <c r="X61" i="1"/>
  <c r="Y61" i="1" s="1"/>
  <c r="X62" i="1"/>
  <c r="Y62" i="1" s="1"/>
  <c r="X63" i="1"/>
  <c r="Y63" i="1" s="1"/>
  <c r="X64" i="1"/>
  <c r="Y64" i="1" s="1"/>
  <c r="X65" i="1"/>
  <c r="Y65" i="1" s="1"/>
  <c r="X66" i="1"/>
  <c r="Y66" i="1" s="1"/>
  <c r="X67" i="1"/>
  <c r="Y67" i="1" s="1"/>
  <c r="X68" i="1"/>
  <c r="Y68" i="1" s="1"/>
  <c r="X69" i="1"/>
  <c r="Y69" i="1" s="1"/>
  <c r="X70" i="1"/>
  <c r="Y70" i="1" s="1"/>
  <c r="X71" i="1"/>
  <c r="Y71" i="1" s="1"/>
  <c r="X72" i="1"/>
  <c r="Y72" i="1" s="1"/>
  <c r="X73" i="1"/>
  <c r="Y73" i="1" s="1"/>
  <c r="X74" i="1"/>
  <c r="Y74" i="1" s="1"/>
  <c r="X75" i="1"/>
  <c r="Y75" i="1" s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Y83" i="1" s="1"/>
  <c r="X84" i="1"/>
  <c r="Y84" i="1" s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91" i="1"/>
  <c r="Y91" i="1" s="1"/>
  <c r="X92" i="1"/>
  <c r="Y92" i="1" s="1"/>
  <c r="X93" i="1"/>
  <c r="Y93" i="1" s="1"/>
  <c r="X94" i="1"/>
  <c r="Y94" i="1" s="1"/>
  <c r="X95" i="1"/>
  <c r="Y95" i="1" s="1"/>
  <c r="X96" i="1"/>
  <c r="Y96" i="1" s="1"/>
  <c r="X97" i="1"/>
  <c r="Y97" i="1" s="1"/>
  <c r="X98" i="1"/>
  <c r="Y98" i="1" s="1"/>
  <c r="X99" i="1"/>
  <c r="Y99" i="1" s="1"/>
  <c r="X100" i="1"/>
  <c r="Y100" i="1" s="1"/>
  <c r="X101" i="1"/>
  <c r="Y101" i="1" s="1"/>
  <c r="X102" i="1"/>
  <c r="Y102" i="1" s="1"/>
  <c r="X103" i="1"/>
  <c r="Y103" i="1" s="1"/>
  <c r="X104" i="1"/>
  <c r="Y104" i="1" s="1"/>
  <c r="X105" i="1"/>
  <c r="Y105" i="1" s="1"/>
  <c r="X106" i="1"/>
  <c r="Y106" i="1" s="1"/>
  <c r="X107" i="1"/>
  <c r="Y107" i="1" s="1"/>
  <c r="X108" i="1"/>
  <c r="Y108" i="1" s="1"/>
  <c r="X109" i="1"/>
  <c r="Y109" i="1" s="1"/>
  <c r="X110" i="1"/>
  <c r="Y110" i="1" s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 s="1"/>
  <c r="X117" i="1"/>
  <c r="Y117" i="1" s="1"/>
  <c r="X118" i="1"/>
  <c r="Y118" i="1" s="1"/>
  <c r="X119" i="1"/>
  <c r="Y119" i="1" s="1"/>
  <c r="X120" i="1"/>
  <c r="Y120" i="1" s="1"/>
  <c r="X121" i="1"/>
  <c r="Y121" i="1" s="1"/>
  <c r="X2" i="1"/>
  <c r="Y2" i="1" s="1"/>
</calcChain>
</file>

<file path=xl/sharedStrings.xml><?xml version="1.0" encoding="utf-8"?>
<sst xmlns="http://schemas.openxmlformats.org/spreadsheetml/2006/main" count="2258" uniqueCount="1155">
  <si>
    <t>Check ID</t>
  </si>
  <si>
    <t>Security Check</t>
  </si>
  <si>
    <t>Description</t>
  </si>
  <si>
    <t>What We Need From User</t>
  </si>
  <si>
    <t>Evidence Required</t>
  </si>
  <si>
    <t>NIST CSF (2.0)</t>
  </si>
  <si>
    <t>NIST 800-53 Rev5</t>
  </si>
  <si>
    <t>ISO/IEC 27001:2022</t>
  </si>
  <si>
    <t>Owner</t>
  </si>
  <si>
    <t>Owner Email</t>
  </si>
  <si>
    <t>Frequency</t>
  </si>
  <si>
    <t>Priority</t>
  </si>
  <si>
    <t>Applicable?</t>
  </si>
  <si>
    <t>Status</t>
  </si>
  <si>
    <t>Evidence Provided?</t>
  </si>
  <si>
    <t>Applicability (Use Case)</t>
  </si>
  <si>
    <t>Approval Status</t>
  </si>
  <si>
    <t>Approved By</t>
  </si>
  <si>
    <t>Approval Date</t>
  </si>
  <si>
    <t>Rejection Reason</t>
  </si>
  <si>
    <t>Evidence Link/Path</t>
  </si>
  <si>
    <t>Date Collected</t>
  </si>
  <si>
    <t>Risk Points (Auto)</t>
  </si>
  <si>
    <t>Risk (Auto)</t>
  </si>
  <si>
    <t>User Comments</t>
  </si>
  <si>
    <t>Notes</t>
  </si>
  <si>
    <t>Asset &amp; Ownership</t>
  </si>
  <si>
    <t>1.1</t>
  </si>
  <si>
    <t>Asset type identified</t>
  </si>
  <si>
    <t>Each lab asset type (endpoint/server/device/container) identified.</t>
  </si>
  <si>
    <t>Asset details (type, make/model)</t>
  </si>
  <si>
    <t>CMDB export</t>
  </si>
  <si>
    <t>ID.AM</t>
  </si>
  <si>
    <t>CM-8, PM-5</t>
  </si>
  <si>
    <t>A.5.9</t>
  </si>
  <si>
    <t>Lab Owner / ITAM</t>
  </si>
  <si>
    <t>Per event</t>
  </si>
  <si>
    <t>Medium</t>
  </si>
  <si>
    <t>Not Started</t>
  </si>
  <si>
    <t>No</t>
  </si>
  <si>
    <t>Device/Asset Onboarding; Server Deployment; Container/VM Provisioning</t>
  </si>
  <si>
    <t>Pending</t>
  </si>
  <si>
    <t>1.2</t>
  </si>
  <si>
    <t>Asset owner identified</t>
  </si>
  <si>
    <t>Named owner accountable for the asset.</t>
  </si>
  <si>
    <t>Owner name/email</t>
  </si>
  <si>
    <t>CMDB record</t>
  </si>
  <si>
    <t>CM-8</t>
  </si>
  <si>
    <t>High</t>
  </si>
  <si>
    <t>All</t>
  </si>
  <si>
    <t>1.3</t>
  </si>
  <si>
    <t>Asset classified as Lab / Non-Production</t>
  </si>
  <si>
    <t>Classification reflects Lab / Non-Prod.</t>
  </si>
  <si>
    <t>Classification tag</t>
  </si>
  <si>
    <t>Tag screenshot/CMDB</t>
  </si>
  <si>
    <t>ID.BE</t>
  </si>
  <si>
    <t>PM-11</t>
  </si>
  <si>
    <t>A.5.12</t>
  </si>
  <si>
    <t>Lab Owner / Security</t>
  </si>
  <si>
    <t>1.4</t>
  </si>
  <si>
    <t>Asset lifecycle defined</t>
  </si>
  <si>
    <t>Lifecycle and retirement documented.</t>
  </si>
  <si>
    <t>Lifecycle plan</t>
  </si>
  <si>
    <t>CMDB fields</t>
  </si>
  <si>
    <t>ID.RM</t>
  </si>
  <si>
    <t>PM-9</t>
  </si>
  <si>
    <t>A.5.10</t>
  </si>
  <si>
    <t>1.5</t>
  </si>
  <si>
    <t>Asset uniquely tracked</t>
  </si>
  <si>
    <t>Unique hostname/serial logged.</t>
  </si>
  <si>
    <t>Identifier</t>
  </si>
  <si>
    <t>Inventory export</t>
  </si>
  <si>
    <t>ITAM</t>
  </si>
  <si>
    <t>Network</t>
  </si>
  <si>
    <t>2.1</t>
  </si>
  <si>
    <t>Dedicated lab VLAN / segment</t>
  </si>
  <si>
    <t>Lab separated from production.</t>
  </si>
  <si>
    <t>Network diagram</t>
  </si>
  <si>
    <t>Firewall/segmentation config</t>
  </si>
  <si>
    <t>PR.PT</t>
  </si>
  <si>
    <t>SC-7</t>
  </si>
  <si>
    <t>A.8.20</t>
  </si>
  <si>
    <t>Network / Security</t>
  </si>
  <si>
    <t>Per change</t>
  </si>
  <si>
    <t>Network Change; Server Deployment</t>
  </si>
  <si>
    <t>2.2</t>
  </si>
  <si>
    <t>No direct internet access</t>
  </si>
  <si>
    <t>Egress restricted to proxies/jump.</t>
  </si>
  <si>
    <t>Egress policy</t>
  </si>
  <si>
    <t>Proxy/firewall policy</t>
  </si>
  <si>
    <t>SC-7, SC-18</t>
  </si>
  <si>
    <t>Network Change</t>
  </si>
  <si>
    <t>2.3</t>
  </si>
  <si>
    <t>Inbound restricted to approved sources</t>
  </si>
  <si>
    <t>Restrict inbound ACLs.</t>
  </si>
  <si>
    <t>Source list; rules</t>
  </si>
  <si>
    <t>Firewall export</t>
  </si>
  <si>
    <t>Server Deployment; Network Change</t>
  </si>
  <si>
    <t>2.4</t>
  </si>
  <si>
    <t>Outbound via proxy with URL filtering</t>
  </si>
  <si>
    <t>HTTP/HTTPS via proxy.</t>
  </si>
  <si>
    <t>URL list; justification</t>
  </si>
  <si>
    <t>Proxy policy</t>
  </si>
  <si>
    <t>A.8.20, A.5.23</t>
  </si>
  <si>
    <t>Per request</t>
  </si>
  <si>
    <t>URL Whitelisting</t>
  </si>
  <si>
    <t>2.5</t>
  </si>
  <si>
    <t>East-west traffic restricted</t>
  </si>
  <si>
    <t>Micro-segmentation limits lateral movement.</t>
  </si>
  <si>
    <t>Segmentation plan</t>
  </si>
  <si>
    <t>ACLs/SG rules</t>
  </si>
  <si>
    <t>2.6</t>
  </si>
  <si>
    <t>Ports/protocols minimized</t>
  </si>
  <si>
    <t>Disable unused ports.</t>
  </si>
  <si>
    <t>Service list</t>
  </si>
  <si>
    <t>Baseline/nmap results</t>
  </si>
  <si>
    <t>CM-7, SC-7</t>
  </si>
  <si>
    <t>A.8.8</t>
  </si>
  <si>
    <t>Platform / Security</t>
  </si>
  <si>
    <t>Per build</t>
  </si>
  <si>
    <t>Server Deployment</t>
  </si>
  <si>
    <t>2.7</t>
  </si>
  <si>
    <t>Remote admin via VPN/jump only</t>
  </si>
  <si>
    <t>Admin via approved paths only.</t>
  </si>
  <si>
    <t>Access paths</t>
  </si>
  <si>
    <t>VPN/jump config</t>
  </si>
  <si>
    <t>PR.AC, PR.PT</t>
  </si>
  <si>
    <t>AC-17, SC-7</t>
  </si>
  <si>
    <t>Access Control</t>
  </si>
  <si>
    <t>3.1</t>
  </si>
  <si>
    <t>RBAC enforced</t>
  </si>
  <si>
    <t>Least privilege via roles.</t>
  </si>
  <si>
    <t>Role requested; approver</t>
  </si>
  <si>
    <t>RBAC mapping</t>
  </si>
  <si>
    <t>PR.AC</t>
  </si>
  <si>
    <t>AC-5, AC-6</t>
  </si>
  <si>
    <t>A.5.18, A.5.15</t>
  </si>
  <si>
    <t>IAM / Security</t>
  </si>
  <si>
    <t>Access Change; Tool Administration; Server Deployment</t>
  </si>
  <si>
    <t>3.2</t>
  </si>
  <si>
    <t>MFA for privileged access</t>
  </si>
  <si>
    <t>MFA for privileged/remote/console.</t>
  </si>
  <si>
    <t>Systems list; MFA policy</t>
  </si>
  <si>
    <t>Policy screenshots</t>
  </si>
  <si>
    <t>IA-2(1), IA-2(2)</t>
  </si>
  <si>
    <t>A.5.17, A.8.2</t>
  </si>
  <si>
    <t>Continuous</t>
  </si>
  <si>
    <t>Access Change; Tool Administration</t>
  </si>
  <si>
    <t>3.3</t>
  </si>
  <si>
    <t>No shared/generic accounts</t>
  </si>
  <si>
    <t>No shared accounts; break-glass controlled.</t>
  </si>
  <si>
    <t>Account list; exceptions</t>
  </si>
  <si>
    <t>PAM config</t>
  </si>
  <si>
    <t>IA-5, AC-2</t>
  </si>
  <si>
    <t>A.5.17</t>
  </si>
  <si>
    <t>3.4</t>
  </si>
  <si>
    <t>Privileged access identified &amp; restricted</t>
  </si>
  <si>
    <t>Privileged roles identified; approvals.</t>
  </si>
  <si>
    <t>Privileged role list</t>
  </si>
  <si>
    <t>Approval tickets</t>
  </si>
  <si>
    <t>AC-6, AC-2</t>
  </si>
  <si>
    <t>A.5.18</t>
  </si>
  <si>
    <t>Quarterly</t>
  </si>
  <si>
    <t>Access Change</t>
  </si>
  <si>
    <t>3.5</t>
  </si>
  <si>
    <t>Default credentials removed/changed</t>
  </si>
  <si>
    <t>Default creds disabled.</t>
  </si>
  <si>
    <t>Baseline checklist</t>
  </si>
  <si>
    <t>Config/scan report</t>
  </si>
  <si>
    <t>PR.IP, PR.AC</t>
  </si>
  <si>
    <t>IA-5, CM-6</t>
  </si>
  <si>
    <t>A.8.9</t>
  </si>
  <si>
    <t>Server Deployment; Device/Asset Onboarding</t>
  </si>
  <si>
    <t>3.6</t>
  </si>
  <si>
    <t>Periodic access review</t>
  </si>
  <si>
    <t>Attestation cadence defined.</t>
  </si>
  <si>
    <t>Review schedule</t>
  </si>
  <si>
    <t>Attestation report</t>
  </si>
  <si>
    <t>AC-2(7), CA-7</t>
  </si>
  <si>
    <t>IAM / Lab Owner</t>
  </si>
  <si>
    <t>Endpoint Security</t>
  </si>
  <si>
    <t>4.1</t>
  </si>
  <si>
    <t>EDR installed or justified</t>
  </si>
  <si>
    <t>Hostnames; EDR status</t>
  </si>
  <si>
    <t>EDR console</t>
  </si>
  <si>
    <t>PR.PT, DE.CM</t>
  </si>
  <si>
    <t>SI-3, SI-4</t>
  </si>
  <si>
    <t>A.8.7</t>
  </si>
  <si>
    <t>SecOps</t>
  </si>
  <si>
    <t>Device/Asset Onboarding; Server Deployment</t>
  </si>
  <si>
    <t>4.2</t>
  </si>
  <si>
    <t>Debug interfaces restricted</t>
  </si>
  <si>
    <t>Disable debug/JTAG unless approved.</t>
  </si>
  <si>
    <t>Exception ticket</t>
  </si>
  <si>
    <t>Config photos/logs</t>
  </si>
  <si>
    <t>CM-7</t>
  </si>
  <si>
    <t>Device/Asset Onboarding</t>
  </si>
  <si>
    <t>4.3</t>
  </si>
  <si>
    <t>OS/platform support status</t>
  </si>
  <si>
    <t>Vendor support/EOL tracked.</t>
  </si>
  <si>
    <t>Support status</t>
  </si>
  <si>
    <t>Vendor page</t>
  </si>
  <si>
    <t>ID.RA</t>
  </si>
  <si>
    <t>RA-3</t>
  </si>
  <si>
    <t>A.5.23</t>
  </si>
  <si>
    <t>Platform</t>
  </si>
  <si>
    <t>4.4</t>
  </si>
  <si>
    <t>Hardening baseline applied</t>
  </si>
  <si>
    <t>CIS/equivalent applied.</t>
  </si>
  <si>
    <t>Baseline profile</t>
  </si>
  <si>
    <t>Build logs</t>
  </si>
  <si>
    <t>PR.IP</t>
  </si>
  <si>
    <t>CM-2, CM-6</t>
  </si>
  <si>
    <t>A.8.8, A.8.9</t>
  </si>
  <si>
    <t>Server Deployment; VM Provisioning</t>
  </si>
  <si>
    <t>4.5</t>
  </si>
  <si>
    <t>Exclusions timebound</t>
  </si>
  <si>
    <t>Security tool exclusions expire.</t>
  </si>
  <si>
    <t>Exemption ticket</t>
  </si>
  <si>
    <t>Policy expiry</t>
  </si>
  <si>
    <t>CM-3</t>
  </si>
  <si>
    <t>A.5.37</t>
  </si>
  <si>
    <t>Security / Lab Owner</t>
  </si>
  <si>
    <t>4.6</t>
  </si>
  <si>
    <t>Performance impact assessed</t>
  </si>
  <si>
    <t>Controls tuned for lab use.</t>
  </si>
  <si>
    <t>Test results</t>
  </si>
  <si>
    <t>Perf logs</t>
  </si>
  <si>
    <t>RA-5</t>
  </si>
  <si>
    <t>Low</t>
  </si>
  <si>
    <t>Vulnerability Mgmt</t>
  </si>
  <si>
    <t>5.1</t>
  </si>
  <si>
    <t>Vulnerability tracking enabled</t>
  </si>
  <si>
    <t>All lab assets enrolled.</t>
  </si>
  <si>
    <t>Asset list</t>
  </si>
  <si>
    <t>Scanner inventory</t>
  </si>
  <si>
    <t>DE.CM, PR.IP</t>
  </si>
  <si>
    <t>SecOps / Platform</t>
  </si>
  <si>
    <t>Monthly</t>
  </si>
  <si>
    <t>5.2</t>
  </si>
  <si>
    <t>Patch/firmware cadence</t>
  </si>
  <si>
    <t>Cadence for OS/firmware defined.</t>
  </si>
  <si>
    <t>Maintenance window</t>
  </si>
  <si>
    <t>Patch reports</t>
  </si>
  <si>
    <t>SI-2</t>
  </si>
  <si>
    <t>Server Deployment; Device Onboarding</t>
  </si>
  <si>
    <t>5.3</t>
  </si>
  <si>
    <t>Automated scanning supported</t>
  </si>
  <si>
    <t>Enable scans or justify.</t>
  </si>
  <si>
    <t>Scan config</t>
  </si>
  <si>
    <t>Scanner results</t>
  </si>
  <si>
    <t>DE.CM</t>
  </si>
  <si>
    <t>5.4</t>
  </si>
  <si>
    <t>Manual review if unscannable</t>
  </si>
  <si>
    <t>Manual process for unscannable assets.</t>
  </si>
  <si>
    <t>Procedure doc</t>
  </si>
  <si>
    <t>Checklist/report</t>
  </si>
  <si>
    <t>DE.DP</t>
  </si>
  <si>
    <t>SecOps / Lab Owner</t>
  </si>
  <si>
    <t>5.5</t>
  </si>
  <si>
    <t>Vendor advisories reviewed</t>
  </si>
  <si>
    <t>Track advisories for lab tech.</t>
  </si>
  <si>
    <t>Vendor list</t>
  </si>
  <si>
    <t>Review logs</t>
  </si>
  <si>
    <t>5.6</t>
  </si>
  <si>
    <t>Remediation cadence defined</t>
  </si>
  <si>
    <t>High/Critical closure timeframes.</t>
  </si>
  <si>
    <t>SLA doc</t>
  </si>
  <si>
    <t>Closure reports</t>
  </si>
  <si>
    <t>Logging</t>
  </si>
  <si>
    <t>6.1</t>
  </si>
  <si>
    <t>Access &amp; config logging enabled</t>
  </si>
  <si>
    <t>Enable auth/config/activity logs.</t>
  </si>
  <si>
    <t>Log settings</t>
  </si>
  <si>
    <t>Config export</t>
  </si>
  <si>
    <t>AU-12</t>
  </si>
  <si>
    <t>A.8.15</t>
  </si>
  <si>
    <t>6.2</t>
  </si>
  <si>
    <t>Logs to SIEM</t>
  </si>
  <si>
    <t>Forward to SIEM.</t>
  </si>
  <si>
    <t>Agent status</t>
  </si>
  <si>
    <t>SIEM dashboard</t>
  </si>
  <si>
    <t>AU-12, CA-7</t>
  </si>
  <si>
    <t>6.3</t>
  </si>
  <si>
    <t>Local logging if no SIEM</t>
  </si>
  <si>
    <t>Enable local logs + cadence.</t>
  </si>
  <si>
    <t>Local log path</t>
  </si>
  <si>
    <t>AU-11</t>
  </si>
  <si>
    <t>Lab Owner / Platform</t>
  </si>
  <si>
    <t>6.4</t>
  </si>
  <si>
    <t>Manual log review cadence</t>
  </si>
  <si>
    <t>Cadence for manual reviews.</t>
  </si>
  <si>
    <t>Schedule</t>
  </si>
  <si>
    <t>Review checklist</t>
  </si>
  <si>
    <t>AU-6</t>
  </si>
  <si>
    <t>A.5.25</t>
  </si>
  <si>
    <t>6.5</t>
  </si>
  <si>
    <t>Log retention policy aligned</t>
  </si>
  <si>
    <t>Retention meets corporate policy.</t>
  </si>
  <si>
    <t>Retention policy</t>
  </si>
  <si>
    <t>Retention settings</t>
  </si>
  <si>
    <t>A.5.32</t>
  </si>
  <si>
    <t>Annual</t>
  </si>
  <si>
    <t>Data/IP</t>
  </si>
  <si>
    <t>7.1</t>
  </si>
  <si>
    <t>IP/Data classification completed</t>
  </si>
  <si>
    <t>Classify lab data &amp; IP.</t>
  </si>
  <si>
    <t>Classification</t>
  </si>
  <si>
    <t>Register record</t>
  </si>
  <si>
    <t>MP-4</t>
  </si>
  <si>
    <t>Data Owner / Security</t>
  </si>
  <si>
    <t>Data Import/Export</t>
  </si>
  <si>
    <t>7.2</t>
  </si>
  <si>
    <t>Customer data exposure identified</t>
  </si>
  <si>
    <t>Identify any customer data.</t>
  </si>
  <si>
    <t>Data types; source</t>
  </si>
  <si>
    <t>Design/doc</t>
  </si>
  <si>
    <t>A.8.10</t>
  </si>
  <si>
    <t>7.3</t>
  </si>
  <si>
    <t>IP access restricted</t>
  </si>
  <si>
    <t>Restrict IP/code to authorized users.</t>
  </si>
  <si>
    <t>Named list</t>
  </si>
  <si>
    <t>ACL</t>
  </si>
  <si>
    <t>AC-3</t>
  </si>
  <si>
    <t>7.4</t>
  </si>
  <si>
    <t>Use approved storage only</t>
  </si>
  <si>
    <t>Sanctioned storage only.</t>
  </si>
  <si>
    <t>Storage path</t>
  </si>
  <si>
    <t>Policy/scan</t>
  </si>
  <si>
    <t>PR.DS</t>
  </si>
  <si>
    <t>SC-28</t>
  </si>
  <si>
    <t>A.8.24</t>
  </si>
  <si>
    <t>Data Import/Export; Server Deployment</t>
  </si>
  <si>
    <t>7.5</t>
  </si>
  <si>
    <t>Approved transfer paths</t>
  </si>
  <si>
    <t>Only approved transfer methods.</t>
  </si>
  <si>
    <t>Transfer design</t>
  </si>
  <si>
    <t>Firewall/proxy logs</t>
  </si>
  <si>
    <t>SC-8</t>
  </si>
  <si>
    <t>7.6</t>
  </si>
  <si>
    <t>Retention &amp; cleanup defined</t>
  </si>
  <si>
    <t>Retention &amp; cleanup defined.</t>
  </si>
  <si>
    <t>Retention schedule</t>
  </si>
  <si>
    <t>Cleanup logs</t>
  </si>
  <si>
    <t>RC.RP</t>
  </si>
  <si>
    <t>CP-9</t>
  </si>
  <si>
    <t>Data Owner / Platform</t>
  </si>
  <si>
    <t>USB</t>
  </si>
  <si>
    <t>8.1</t>
  </si>
  <si>
    <t>USB usage approved &amp; time-bound</t>
  </si>
  <si>
    <t>Approval + expiry.</t>
  </si>
  <si>
    <t>Approval ticket</t>
  </si>
  <si>
    <t>Exception record</t>
  </si>
  <si>
    <t>PR.DS, PR.PT</t>
  </si>
  <si>
    <t>MP-7</t>
  </si>
  <si>
    <t>A.8.12</t>
  </si>
  <si>
    <t>Security / IT</t>
  </si>
  <si>
    <t>Device/Asset Onboarding; Data Import/Export</t>
  </si>
  <si>
    <t>8.2</t>
  </si>
  <si>
    <t>USB restricted to specific systems</t>
  </si>
  <si>
    <t>USB allowed only on whitelisted hosts.</t>
  </si>
  <si>
    <t>Host list</t>
  </si>
  <si>
    <t>MDM/DLP policy</t>
  </si>
  <si>
    <t>IT / Security</t>
  </si>
  <si>
    <t>8.3</t>
  </si>
  <si>
    <t>Purpose &amp; scope documented</t>
  </si>
  <si>
    <t>USB scope/purpose noted.</t>
  </si>
  <si>
    <t>Purpose statement</t>
  </si>
  <si>
    <t>Approval record</t>
  </si>
  <si>
    <t>8.4</t>
  </si>
  <si>
    <t>USB access expiry defined</t>
  </si>
  <si>
    <t>USB access auto-expires.</t>
  </si>
  <si>
    <t>Expiry date</t>
  </si>
  <si>
    <t>Policy/MDM view</t>
  </si>
  <si>
    <t>8.5</t>
  </si>
  <si>
    <t>USB disabled after completion</t>
  </si>
  <si>
    <t>Revoke USB post task.</t>
  </si>
  <si>
    <t>Closure ticket</t>
  </si>
  <si>
    <t>MDM screenshot</t>
  </si>
  <si>
    <t>Vendor Risk</t>
  </si>
  <si>
    <t>9.1</t>
  </si>
  <si>
    <t>Vendor security review completed</t>
  </si>
  <si>
    <t>3rd party review prior to use.</t>
  </si>
  <si>
    <t>Security questionnaire</t>
  </si>
  <si>
    <t>TPRM record</t>
  </si>
  <si>
    <t>ID.SC</t>
  </si>
  <si>
    <t>SR-3, SA-12</t>
  </si>
  <si>
    <t>A.5.19, A.5.20</t>
  </si>
  <si>
    <t>Security / Procurement</t>
  </si>
  <si>
    <t>Vendor Onboarding</t>
  </si>
  <si>
    <t>9.2</t>
  </si>
  <si>
    <t>Vendor security documentation reviewed</t>
  </si>
  <si>
    <t>SOC2/ISO attestations reviewed.</t>
  </si>
  <si>
    <t>Attestation reports</t>
  </si>
  <si>
    <t>Doc repo</t>
  </si>
  <si>
    <t>SR-5</t>
  </si>
  <si>
    <t>A.5.19</t>
  </si>
  <si>
    <t>9.3</t>
  </si>
  <si>
    <t>NDA &amp; data clauses in place</t>
  </si>
  <si>
    <t>NDA &amp; data clauses signed.</t>
  </si>
  <si>
    <t>Contract/NDA</t>
  </si>
  <si>
    <t>Contract system</t>
  </si>
  <si>
    <t>PL-2</t>
  </si>
  <si>
    <t>A.5.1</t>
  </si>
  <si>
    <t>Legal / Procurement</t>
  </si>
  <si>
    <t>9.4</t>
  </si>
  <si>
    <t>Vendor access scope restricted</t>
  </si>
  <si>
    <t>Access least required.</t>
  </si>
  <si>
    <t>Scope statement</t>
  </si>
  <si>
    <t>Access plan</t>
  </si>
  <si>
    <t>AC-6</t>
  </si>
  <si>
    <t>Vendor Onboarding; Access Change</t>
  </si>
  <si>
    <t>9.5</t>
  </si>
  <si>
    <t>Vendor-managed components documented</t>
  </si>
  <si>
    <t>Vendor-managed devices documented.</t>
  </si>
  <si>
    <t>Component list</t>
  </si>
  <si>
    <t>Inventory/CMDB</t>
  </si>
  <si>
    <t>Lab Owner / Procurement</t>
  </si>
  <si>
    <t>Configuration Mgmt</t>
  </si>
  <si>
    <t>10.1</t>
  </si>
  <si>
    <t>Baseline images hardened (CIS)</t>
  </si>
  <si>
    <t>Hardened images.</t>
  </si>
  <si>
    <t>10.2</t>
  </si>
  <si>
    <t>Config as code tracked</t>
  </si>
  <si>
    <t>Configurations tracked in VCS/IaC.</t>
  </si>
  <si>
    <t>Repo link</t>
  </si>
  <si>
    <t>PR checks</t>
  </si>
  <si>
    <t>DevOps / Platform</t>
  </si>
  <si>
    <t>Server Deployment; CI/CD Build</t>
  </si>
  <si>
    <t>10.3</t>
  </si>
  <si>
    <t>Default services disabled</t>
  </si>
  <si>
    <t>Disable unnecessary services.</t>
  </si>
  <si>
    <t>Baseline script</t>
  </si>
  <si>
    <t>10.4</t>
  </si>
  <si>
    <t>Time sync configured</t>
  </si>
  <si>
    <t>NTP/time sync configured.</t>
  </si>
  <si>
    <t>NTP source</t>
  </si>
  <si>
    <t>RS.AN</t>
  </si>
  <si>
    <t>AU-8</t>
  </si>
  <si>
    <t>A.8.16</t>
  </si>
  <si>
    <t>Secrets &amp; Keys</t>
  </si>
  <si>
    <t>11.1</t>
  </si>
  <si>
    <t>Secrets in enterprise vault</t>
  </si>
  <si>
    <t>No plaintext secrets in repo/config.</t>
  </si>
  <si>
    <t>Secrets list; vault path</t>
  </si>
  <si>
    <t>Vault policy</t>
  </si>
  <si>
    <t>SC-12, IA-5</t>
  </si>
  <si>
    <t>Security / DevOps</t>
  </si>
  <si>
    <t>Software Deployment; CI/CD Build</t>
  </si>
  <si>
    <t>11.2</t>
  </si>
  <si>
    <t>Rotation policy defined</t>
  </si>
  <si>
    <t>Keys/tokens rotated per policy.</t>
  </si>
  <si>
    <t>Rotation schedule</t>
  </si>
  <si>
    <t>Vault/rotation logs</t>
  </si>
  <si>
    <t>IA-5</t>
  </si>
  <si>
    <t>Security</t>
  </si>
  <si>
    <t>Backup &amp; Recovery</t>
  </si>
  <si>
    <t>12.1</t>
  </si>
  <si>
    <t>Backups for critical lab systems</t>
  </si>
  <si>
    <t>Backups configured &amp; tested.</t>
  </si>
  <si>
    <t>Backup scope; RPO/RTO</t>
  </si>
  <si>
    <t>Backup/restore report</t>
  </si>
  <si>
    <t>CP-9, CP-10</t>
  </si>
  <si>
    <t>A.8.13</t>
  </si>
  <si>
    <t>DR Team / Platform</t>
  </si>
  <si>
    <t>Weekly</t>
  </si>
  <si>
    <t>Backup/Restore</t>
  </si>
  <si>
    <t>12.2</t>
  </si>
  <si>
    <t>Snapshot policy for lab VMs</t>
  </si>
  <si>
    <t>Snapshots for analysis &amp; rollback.</t>
  </si>
  <si>
    <t>Snapshot schedule</t>
  </si>
  <si>
    <t>Hypervisor logs</t>
  </si>
  <si>
    <t>RS.AN, RC.RP</t>
  </si>
  <si>
    <t>IR-4, CP-10</t>
  </si>
  <si>
    <t>VM Provisioning</t>
  </si>
  <si>
    <t>Incident Response</t>
  </si>
  <si>
    <t>13.1</t>
  </si>
  <si>
    <t>Lab incidents use corporate IR</t>
  </si>
  <si>
    <t>All incidents escalated.</t>
  </si>
  <si>
    <t>IR contact</t>
  </si>
  <si>
    <t>IR policy/training</t>
  </si>
  <si>
    <t>RS.RP, RS.CO</t>
  </si>
  <si>
    <t>IR-1, IR-6</t>
  </si>
  <si>
    <t>A.5.24</t>
  </si>
  <si>
    <t>Incident Handling</t>
  </si>
  <si>
    <t>13.2</t>
  </si>
  <si>
    <t>Forensic readiness</t>
  </si>
  <si>
    <t>Collect &amp; preserve evidence.</t>
  </si>
  <si>
    <t>Evidence plan</t>
  </si>
  <si>
    <t>Retention/snapshot logs</t>
  </si>
  <si>
    <t>IR-4, AU-8</t>
  </si>
  <si>
    <t>Change Mgmt</t>
  </si>
  <si>
    <t>14.1</t>
  </si>
  <si>
    <t>Change tickets required</t>
  </si>
  <si>
    <t>All infra changes tracked.</t>
  </si>
  <si>
    <t>Change ID; risk</t>
  </si>
  <si>
    <t>Change record</t>
  </si>
  <si>
    <t>Lab Owner / Change Board</t>
  </si>
  <si>
    <t>14.2</t>
  </si>
  <si>
    <t>Rollback plan documented</t>
  </si>
  <si>
    <t>Rollback defined for risky changes.</t>
  </si>
  <si>
    <t>Rollback plan</t>
  </si>
  <si>
    <t>Supply Chain &amp; Software Intake</t>
  </si>
  <si>
    <t>15.1</t>
  </si>
  <si>
    <t>SCA / malware scan of packages</t>
  </si>
  <si>
    <t>Scan open-source &amp; packages.</t>
  </si>
  <si>
    <t>Package list</t>
  </si>
  <si>
    <t>SCA report</t>
  </si>
  <si>
    <t>SA-12</t>
  </si>
  <si>
    <t>Software Deployment</t>
  </si>
  <si>
    <t>15.2</t>
  </si>
  <si>
    <t>Approved sources only</t>
  </si>
  <si>
    <t>Only approved repos/registries.</t>
  </si>
  <si>
    <t>Source list</t>
  </si>
  <si>
    <t>Policy/allowlist</t>
  </si>
  <si>
    <t>SR-3</t>
  </si>
  <si>
    <t>DevOps / Security</t>
  </si>
  <si>
    <t>IaC &amp; Cloud</t>
  </si>
  <si>
    <t>16.1</t>
  </si>
  <si>
    <t>IaC templates scanned</t>
  </si>
  <si>
    <t>IaC misconfig scan pre-provision.</t>
  </si>
  <si>
    <t>Scan results</t>
  </si>
  <si>
    <t>CM-3, SA-11</t>
  </si>
  <si>
    <t>A.5.21</t>
  </si>
  <si>
    <t>Per release</t>
  </si>
  <si>
    <t>CI/CD Build; VM Provisioning</t>
  </si>
  <si>
    <t>16.2</t>
  </si>
  <si>
    <t>Cloud lab accounts tagged &amp; limited</t>
  </si>
  <si>
    <t>Tagging &amp; least privilege applied.</t>
  </si>
  <si>
    <t>Tagging policy</t>
  </si>
  <si>
    <t>Cloud config export</t>
  </si>
  <si>
    <t>ID.AM, PR.AC</t>
  </si>
  <si>
    <t>CM-8, AC-6</t>
  </si>
  <si>
    <t>VM Provisioning; Server Deployment</t>
  </si>
  <si>
    <t>Privacy &amp; Legal</t>
  </si>
  <si>
    <t>17.1</t>
  </si>
  <si>
    <t>No personal/sensitive data without approval</t>
  </si>
  <si>
    <t>Processing requires approval.</t>
  </si>
  <si>
    <t>DPIA/approval</t>
  </si>
  <si>
    <t>ID.RA, PR.DS</t>
  </si>
  <si>
    <t>PL-8, SC-28</t>
  </si>
  <si>
    <t>A.5.34</t>
  </si>
  <si>
    <t>Privacy / Security</t>
  </si>
  <si>
    <t>17.2</t>
  </si>
  <si>
    <t>Data handling notices &amp; labels</t>
  </si>
  <si>
    <t>Proper labeling and notices.</t>
  </si>
  <si>
    <t>Labels/screenshots</t>
  </si>
  <si>
    <t>Data handling SOP</t>
  </si>
  <si>
    <t>Data Owner / Lab Owner</t>
  </si>
  <si>
    <t>Physical &amp; Environmental</t>
  </si>
  <si>
    <t>18.1</t>
  </si>
  <si>
    <t>Lab devices physically secured</t>
  </si>
  <si>
    <t>Locked rooms/cabinets.</t>
  </si>
  <si>
    <t>Location/locker</t>
  </si>
  <si>
    <t>Photo/asset log</t>
  </si>
  <si>
    <t>PE-3</t>
  </si>
  <si>
    <t>A.7.4</t>
  </si>
  <si>
    <t>Facilities / Lab Owner</t>
  </si>
  <si>
    <t>18.2</t>
  </si>
  <si>
    <t>Visitor access logged</t>
  </si>
  <si>
    <t>Visitor access recorded.</t>
  </si>
  <si>
    <t>Visitor log</t>
  </si>
  <si>
    <t>Visitor register</t>
  </si>
  <si>
    <t>PE-8</t>
  </si>
  <si>
    <t>Facilities / Security</t>
  </si>
  <si>
    <t>Build / CI-CD</t>
  </si>
  <si>
    <t>19.1</t>
  </si>
  <si>
    <t>Build agents hardened &amp; isolated</t>
  </si>
  <si>
    <t>Hardened images, minimal perms.</t>
  </si>
  <si>
    <t>Agent baseline</t>
  </si>
  <si>
    <t>Build settings</t>
  </si>
  <si>
    <t>CM-6, AC-6</t>
  </si>
  <si>
    <t>CI/CD Build</t>
  </si>
  <si>
    <t>19.2</t>
  </si>
  <si>
    <t>Secret scanning in repos</t>
  </si>
  <si>
    <t>Enable secret scanning.</t>
  </si>
  <si>
    <t>Scan report</t>
  </si>
  <si>
    <t>DE.CM, PR.DS</t>
  </si>
  <si>
    <t>SI-4, IA-5</t>
  </si>
  <si>
    <t>CI/CD Build; Software Deployment</t>
  </si>
  <si>
    <t>Governance &amp; Training</t>
  </si>
  <si>
    <t>20.1</t>
  </si>
  <si>
    <t>Lab AUP acknowledged</t>
  </si>
  <si>
    <t>Users acknowledge AUP.</t>
  </si>
  <si>
    <t>Acknowledgement</t>
  </si>
  <si>
    <t>LMS/sign-off</t>
  </si>
  <si>
    <t>PR.AT, ID.BE</t>
  </si>
  <si>
    <t>AT-2, PM-11</t>
  </si>
  <si>
    <t>A.6.3</t>
  </si>
  <si>
    <t>Security / HR</t>
  </si>
  <si>
    <t>Device/Asset Onboarding; Access Change</t>
  </si>
  <si>
    <t>20.2</t>
  </si>
  <si>
    <t>Role-specific lab training completed</t>
  </si>
  <si>
    <t>Admin/Power users complete training.</t>
  </si>
  <si>
    <t>Training completion</t>
  </si>
  <si>
    <t>LMS report</t>
  </si>
  <si>
    <t>PR.AT</t>
  </si>
  <si>
    <t>AT-3</t>
  </si>
  <si>
    <t>Containers &amp; Kubernetes</t>
  </si>
  <si>
    <t>21.1</t>
  </si>
  <si>
    <t>Image provenance &amp; signing</t>
  </si>
  <si>
    <t>Only signed/verified images allowed.</t>
  </si>
  <si>
    <t>Registry policy; signing keys</t>
  </si>
  <si>
    <t>Policy export; admission controller</t>
  </si>
  <si>
    <t>ID.SC, PR.PT</t>
  </si>
  <si>
    <t>SA-12, SC-12</t>
  </si>
  <si>
    <t>A.5.19, A.5.32</t>
  </si>
  <si>
    <t>Software Deployment; Container/VM Provisioning</t>
  </si>
  <si>
    <t>21.2</t>
  </si>
  <si>
    <t>Runtime policy &amp; least privilege</t>
  </si>
  <si>
    <t>Restrict capabilities; RO FS.</t>
  </si>
  <si>
    <t>K8s policies</t>
  </si>
  <si>
    <t>OPA/Kyverno report</t>
  </si>
  <si>
    <t>Container/VM Provisioning</t>
  </si>
  <si>
    <t>21.3</t>
  </si>
  <si>
    <t>Secrets via KMS/CSI</t>
  </si>
  <si>
    <t>No plaintext; use KMS/CSI.</t>
  </si>
  <si>
    <t>Secrets path</t>
  </si>
  <si>
    <t>KMS policy</t>
  </si>
  <si>
    <t>SC-12</t>
  </si>
  <si>
    <t>CI/CD Build; Container/VM Provisioning</t>
  </si>
  <si>
    <t>21.4</t>
  </si>
  <si>
    <t>Namespace/network isolation</t>
  </si>
  <si>
    <t>NetPols limit ingress/egress.</t>
  </si>
  <si>
    <t>Policy set</t>
  </si>
  <si>
    <t>NetPol manifests</t>
  </si>
  <si>
    <t>DevOps / Network</t>
  </si>
  <si>
    <t>OT/IoT</t>
  </si>
  <si>
    <t>22.1</t>
  </si>
  <si>
    <t>OT/IoT inventory &amp; classification</t>
  </si>
  <si>
    <t>Catalog devices with model/firmware.</t>
  </si>
  <si>
    <t>Device list</t>
  </si>
  <si>
    <t>ITAM / Lab Owner</t>
  </si>
  <si>
    <t>22.2</t>
  </si>
  <si>
    <t>Network isolation &amp; gateway</t>
  </si>
  <si>
    <t>OT/IoT segments isolated via gateway.</t>
  </si>
  <si>
    <t>Gateway config</t>
  </si>
  <si>
    <t>22.3</t>
  </si>
  <si>
    <t>Firmware/update governance</t>
  </si>
  <si>
    <t>Cadence &amp; signed firmware only.</t>
  </si>
  <si>
    <t>Firmware policy</t>
  </si>
  <si>
    <t>Vendor advisories</t>
  </si>
  <si>
    <t>PR.IP, ID.SC</t>
  </si>
  <si>
    <t>SI-2, SA-12</t>
  </si>
  <si>
    <t>A.5.23, A.5.19</t>
  </si>
  <si>
    <t>GPUs &amp; Accelerators</t>
  </si>
  <si>
    <t>23.1</t>
  </si>
  <si>
    <t>GPU host access control</t>
  </si>
  <si>
    <t>RBAC + MFA on GPU hosts.</t>
  </si>
  <si>
    <t>Access matrix</t>
  </si>
  <si>
    <t>IAM report</t>
  </si>
  <si>
    <t>AC-6, IA-2</t>
  </si>
  <si>
    <t>IAM / Platform</t>
  </si>
  <si>
    <t>GPU Cluster Access; Server Deployment</t>
  </si>
  <si>
    <t>23.2</t>
  </si>
  <si>
    <t>Driver/runtime patching</t>
  </si>
  <si>
    <t>Driver/CUDA/ROCm patch cadence.</t>
  </si>
  <si>
    <t>Patch window</t>
  </si>
  <si>
    <t>Patch report</t>
  </si>
  <si>
    <t>GPU Cluster Access</t>
  </si>
  <si>
    <t>23.3</t>
  </si>
  <si>
    <t>Workload isolation &amp; quotas</t>
  </si>
  <si>
    <t>Quotas; segregation.</t>
  </si>
  <si>
    <t>Quota config</t>
  </si>
  <si>
    <t>Scheduler/policy</t>
  </si>
  <si>
    <t>GPU Cluster Access; AI/ML Experiment</t>
  </si>
  <si>
    <t>LLM Safety &amp; AI</t>
  </si>
  <si>
    <t>24.1</t>
  </si>
  <si>
    <t>Data minimization &amp; redaction</t>
  </si>
  <si>
    <t>Strip PII/secrets from prompts/datasets.</t>
  </si>
  <si>
    <t>Data flow</t>
  </si>
  <si>
    <t>Redaction config</t>
  </si>
  <si>
    <t>SC-28, MP-4</t>
  </si>
  <si>
    <t>A.5.34, A.5.32</t>
  </si>
  <si>
    <t>AI Safety / Security</t>
  </si>
  <si>
    <t>AI/ML Experiment; Data Import/Export</t>
  </si>
  <si>
    <t>24.2</t>
  </si>
  <si>
    <t>Safety filters &amp; guardrails</t>
  </si>
  <si>
    <t>Enable toxicity/safety/policy guardrails.</t>
  </si>
  <si>
    <t>Model gateway policy</t>
  </si>
  <si>
    <t>DE.DP, PR.PT</t>
  </si>
  <si>
    <t>SI-4, SC-7</t>
  </si>
  <si>
    <t>A.5.25, A.5.23</t>
  </si>
  <si>
    <t>AI/ML Experiment</t>
  </si>
  <si>
    <t>24.3</t>
  </si>
  <si>
    <t>Model/Prompt logging &amp; retention</t>
  </si>
  <si>
    <t>Log prompts/outputs with retention.</t>
  </si>
  <si>
    <t>Logging setup</t>
  </si>
  <si>
    <t>SIEM/Store screenshot</t>
  </si>
  <si>
    <t>AU-12, AU-11</t>
  </si>
  <si>
    <t>SecOps / AI Safety</t>
  </si>
  <si>
    <t>Cloud-native Services</t>
  </si>
  <si>
    <t>25.1</t>
  </si>
  <si>
    <t>Managed services hardened</t>
  </si>
  <si>
    <t>Lock down PaaS defaults.</t>
  </si>
  <si>
    <t>Service list &amp; settings</t>
  </si>
  <si>
    <t>PR.IP, PR.PT</t>
  </si>
  <si>
    <t>CM-6, SC-7</t>
  </si>
  <si>
    <t>A.8.8, A.8.20</t>
  </si>
  <si>
    <t>Cloud / Security</t>
  </si>
  <si>
    <t>Cloud Service Onboarding</t>
  </si>
  <si>
    <t>25.2</t>
  </si>
  <si>
    <t>Least-privileged service principals</t>
  </si>
  <si>
    <t>Scoped roles + key rotation.</t>
  </si>
  <si>
    <t>SPN list</t>
  </si>
  <si>
    <t>IAM export</t>
  </si>
  <si>
    <t>PR.AC, PR.DS</t>
  </si>
  <si>
    <t>AC-6, IA-5</t>
  </si>
  <si>
    <t>Cloud / IAM</t>
  </si>
  <si>
    <t>Cloud Service Onboarding; CI/CD Build</t>
  </si>
  <si>
    <t>25.3</t>
  </si>
  <si>
    <t>Service endpoints &amp; egress control</t>
  </si>
  <si>
    <t>Private endpoints; deny public unless justified.</t>
  </si>
  <si>
    <t>Endpoint plan</t>
  </si>
  <si>
    <t>Policy export</t>
  </si>
  <si>
    <t>Cloud / Network</t>
  </si>
  <si>
    <t>PKI &amp; Certificates</t>
  </si>
  <si>
    <t>26.1</t>
  </si>
  <si>
    <t>TLS certs from approved CAs</t>
  </si>
  <si>
    <t>Use corporate/approved CAs.</t>
  </si>
  <si>
    <t>Cert inventory</t>
  </si>
  <si>
    <t>PKI report</t>
  </si>
  <si>
    <t>SC-13</t>
  </si>
  <si>
    <t>PKI / Security</t>
  </si>
  <si>
    <t>Server Deployment; Cloud Service Onboarding</t>
  </si>
  <si>
    <t>26.2</t>
  </si>
  <si>
    <t>Expiration monitoring &amp; auto-renew</t>
  </si>
  <si>
    <t>Monitor &amp; auto-renew certs.</t>
  </si>
  <si>
    <t>Expiry list</t>
  </si>
  <si>
    <t>Renewal logs</t>
  </si>
  <si>
    <t>AU-6, CM-3</t>
  </si>
  <si>
    <t>PKI / Platform</t>
  </si>
  <si>
    <t>26.3</t>
  </si>
  <si>
    <t>Private key protection</t>
  </si>
  <si>
    <t>Keys in HSM/KMS; no export.</t>
  </si>
  <si>
    <t>Key paths</t>
  </si>
  <si>
    <t>HSM/KMS policy</t>
  </si>
  <si>
    <t>2.8</t>
  </si>
  <si>
    <t>DNS security controls enforced</t>
  </si>
  <si>
    <t>Enterprise DNS sinkhole/block; DoT/DoH policy.</t>
  </si>
  <si>
    <t>DNS policy; resolver list</t>
  </si>
  <si>
    <t>DNS/proxy export</t>
  </si>
  <si>
    <t>SC-7, SC-20</t>
  </si>
  <si>
    <t>2.9</t>
  </si>
  <si>
    <t>Default-deny inter-segment policy</t>
  </si>
  <si>
    <t>Deny-by-default between segments.</t>
  </si>
  <si>
    <t>ACL matrix</t>
  </si>
  <si>
    <t>Firewall ruleset</t>
  </si>
  <si>
    <t>SC-7(5)</t>
  </si>
  <si>
    <t>3.7</t>
  </si>
  <si>
    <t>Session timeout &amp; idle lock</t>
  </si>
  <si>
    <t>Idle timeout &amp; re-auth.</t>
  </si>
  <si>
    <t>Timeout settings</t>
  </si>
  <si>
    <t>Config screenshots</t>
  </si>
  <si>
    <t>AC-12, AC-11</t>
  </si>
  <si>
    <t>Tool Administration; Access Change</t>
  </si>
  <si>
    <t>3.8</t>
  </si>
  <si>
    <t>Break-glass account governance</t>
  </si>
  <si>
    <t>Emergency accounts in PAM; alerting.</t>
  </si>
  <si>
    <t>PAM record</t>
  </si>
  <si>
    <t>PAM policy/tests</t>
  </si>
  <si>
    <t>5.7</t>
  </si>
  <si>
    <t>Remediation SLAs by severity</t>
  </si>
  <si>
    <t>Critical/High/Med/Low SLA tracking.</t>
  </si>
  <si>
    <t>SLA register</t>
  </si>
  <si>
    <t>Vuln dashboard export</t>
  </si>
  <si>
    <t>SI-2, RA-5</t>
  </si>
  <si>
    <t>15.3</t>
  </si>
  <si>
    <t>SBOM for lab software</t>
  </si>
  <si>
    <t>SBOM generated &amp; retained.</t>
  </si>
  <si>
    <t>SBOM files</t>
  </si>
  <si>
    <t>Build artifacts</t>
  </si>
  <si>
    <t>SA-11, SA-12</t>
  </si>
  <si>
    <t>6.6</t>
  </si>
  <si>
    <t>Tamper protection for logs</t>
  </si>
  <si>
    <t>Restrict access; protect logs.</t>
  </si>
  <si>
    <t>Permissions list</t>
  </si>
  <si>
    <t>Store/agent config</t>
  </si>
  <si>
    <t>AU-9, AU-11</t>
  </si>
  <si>
    <t>7.7</t>
  </si>
  <si>
    <t>Encryption at rest verified</t>
  </si>
  <si>
    <t>Encryption at rest with enterprise keys.</t>
  </si>
  <si>
    <t>Config/Key policy</t>
  </si>
  <si>
    <t>SC-28, SC-12</t>
  </si>
  <si>
    <t>A.8.24, A.5.32</t>
  </si>
  <si>
    <t>7.8</t>
  </si>
  <si>
    <t>DLP coverage for lab storage</t>
  </si>
  <si>
    <t>DLP on sanctioned lab shares/buckets.</t>
  </si>
  <si>
    <t>Storage inventory</t>
  </si>
  <si>
    <t>DLP policy/report</t>
  </si>
  <si>
    <t>A.5.23, A.8.24</t>
  </si>
  <si>
    <t>21.5</t>
  </si>
  <si>
    <t>Image scanning gate in CI</t>
  </si>
  <si>
    <t>Policy gates; no :latest.</t>
  </si>
  <si>
    <t>Pipeline link</t>
  </si>
  <si>
    <t>Scan report/policy</t>
  </si>
  <si>
    <t>SA-11, RA-5</t>
  </si>
  <si>
    <t>A.5.21, A.5.19</t>
  </si>
  <si>
    <t>26.4</t>
  </si>
  <si>
    <t>mTLS enforced for admin APIs</t>
  </si>
  <si>
    <t>Mutual TLS on admin endpoints.</t>
  </si>
  <si>
    <t>Gateway/ingress config</t>
  </si>
  <si>
    <t>SC-13, SC-8</t>
  </si>
  <si>
    <t>Tool Administration; Server Deployment</t>
  </si>
  <si>
    <t>24.4</t>
  </si>
  <si>
    <t>Dataset lineage recorded</t>
  </si>
  <si>
    <t>Datasets have lineage/approvals.</t>
  </si>
  <si>
    <t>Dataset register</t>
  </si>
  <si>
    <t>Lineage/approval records</t>
  </si>
  <si>
    <t>CM-8, SA-10</t>
  </si>
  <si>
    <t>AI Safety / Data Owner</t>
  </si>
  <si>
    <t>25.4</t>
  </si>
  <si>
    <t>Public access blockers</t>
  </si>
  <si>
    <t>Org policies deny public by default.</t>
  </si>
  <si>
    <t>Cloud policy export</t>
  </si>
  <si>
    <t>20.3</t>
  </si>
  <si>
    <t>Admin training on secure tooling</t>
  </si>
  <si>
    <t>Admins complete secure admin/IR basics.</t>
  </si>
  <si>
    <t>LMS records</t>
  </si>
  <si>
    <t>Training syllabus</t>
  </si>
  <si>
    <t>AT-3, IR-2</t>
  </si>
  <si>
    <t>13.3</t>
  </si>
  <si>
    <t>Lab tabletop exercises</t>
  </si>
  <si>
    <t>Periodic drills for lab scenarios.</t>
  </si>
  <si>
    <t>Exercise plan</t>
  </si>
  <si>
    <t>Exercise report</t>
  </si>
  <si>
    <t>RS.IM</t>
  </si>
  <si>
    <t>IR-3</t>
  </si>
  <si>
    <t>22.4</t>
  </si>
  <si>
    <t>Secure remote maintenance</t>
  </si>
  <si>
    <t>Gateway-based, recorded sessions.</t>
  </si>
  <si>
    <t>Gateway list</t>
  </si>
  <si>
    <t>Session logs</t>
  </si>
  <si>
    <t>25.5</t>
  </si>
  <si>
    <t>Customer-managed keys (CMK) enforced</t>
  </si>
  <si>
    <t>Require CMK for PaaS lab data; document key hierarchy &amp; rotation.</t>
  </si>
  <si>
    <t>Service list; key URIs; rotation cadence</t>
  </si>
  <si>
    <t>Key policy export; service config</t>
  </si>
  <si>
    <t>SC-12, SC-13</t>
  </si>
  <si>
    <t>A.5.32, A.8.24</t>
  </si>
  <si>
    <t>25.6</t>
  </si>
  <si>
    <t>Storage public access blocked at org policy</t>
  </si>
  <si>
    <t>Organization policy denies public buckets/containers by default with exceptions.</t>
  </si>
  <si>
    <t>Policy ID; exception register</t>
  </si>
  <si>
    <t>Policy export; config/state proof</t>
  </si>
  <si>
    <t>25.7</t>
  </si>
  <si>
    <t>Private DNS + service endpoints enforced</t>
  </si>
  <si>
    <t>Use private DNS zones and private endpoints for PaaS.</t>
  </si>
  <si>
    <t>Endpoint/DNS plan</t>
  </si>
  <si>
    <t>DNS/endpoint configuration export</t>
  </si>
  <si>
    <t>25.8</t>
  </si>
  <si>
    <t>Backups &amp; geo-redundancy configured for PaaS</t>
  </si>
  <si>
    <t>Enable PITR/geo-redundant copies for critical PaaS.</t>
  </si>
  <si>
    <t>RPO/RTO; critical services</t>
  </si>
  <si>
    <t>Backup policy; restore test logs</t>
  </si>
  <si>
    <t>Cloud / Platform</t>
  </si>
  <si>
    <t>25.9</t>
  </si>
  <si>
    <t>Key rotation SLOs for CMK</t>
  </si>
  <si>
    <t>Define and meet CMK rotation SLOs.</t>
  </si>
  <si>
    <t>Rotation cadence/SLO</t>
  </si>
  <si>
    <t>KMS rotation logs/policy</t>
  </si>
  <si>
    <t>IA-5, SC-12</t>
  </si>
  <si>
    <t>16.3</t>
  </si>
  <si>
    <t>Policy as code guardrails (preventive)</t>
  </si>
  <si>
    <t>Org/tenant policies + IaC policy-as-code block noncompliant deploys.</t>
  </si>
  <si>
    <t>Policy repo links</t>
  </si>
  <si>
    <t>Policy definitions; pipeline gates</t>
  </si>
  <si>
    <t>16.4</t>
  </si>
  <si>
    <t>Cloud drift detection &amp; reconciliation</t>
  </si>
  <si>
    <t>Detect config drift from IaC baselines; reconcile tickets.</t>
  </si>
  <si>
    <t>Baseline repo; drift tool</t>
  </si>
  <si>
    <t>Drift reports; tickets</t>
  </si>
  <si>
    <t>CI/CD Build; Server Deployment</t>
  </si>
  <si>
    <t>16.5</t>
  </si>
  <si>
    <t>Separate prod/non‑prod tenants &amp; SSO</t>
  </si>
  <si>
    <t>Tenant isolation; enforce SSO &amp; CA; no shared identities.</t>
  </si>
  <si>
    <t>Tenant diagram; CA policies</t>
  </si>
  <si>
    <t>Tenant/IdP config exports</t>
  </si>
  <si>
    <t>AC-2, AC-6</t>
  </si>
  <si>
    <t>A.5.17, A.5.18</t>
  </si>
  <si>
    <t>25.10</t>
  </si>
  <si>
    <t>CASB/CSPM coverage for lab subscriptions</t>
  </si>
  <si>
    <t>Lab subscriptions onboarded; posture/alerts enabled.</t>
  </si>
  <si>
    <t>Subscription list</t>
  </si>
  <si>
    <t>CSPM inventory &amp; score</t>
  </si>
  <si>
    <t>CA-7, RA-5</t>
  </si>
  <si>
    <t>25.11</t>
  </si>
  <si>
    <t>Egress control for build agents and function apps</t>
  </si>
  <si>
    <t>Restrict egress via proxy/NAT; no direct internet.</t>
  </si>
  <si>
    <t>Egress design</t>
  </si>
  <si>
    <t>NSG/firewall/policy export</t>
  </si>
  <si>
    <t>Cloud / DevOps</t>
  </si>
  <si>
    <t>CI/CD Build; Cloud Service Onboarding</t>
  </si>
  <si>
    <t>Applicable</t>
  </si>
  <si>
    <t>YES</t>
  </si>
  <si>
    <t>NA</t>
  </si>
  <si>
    <t>Use Case</t>
  </si>
  <si>
    <t>Register device/asset, assign owner, apply baseline/EDR, tag in CMDB.</t>
  </si>
  <si>
    <t>Provision server/VM/container with hardened baseline, logging, backups, segmentation.</t>
  </si>
  <si>
    <t>Allow outbound destinations via proxy with justification &amp; expiry.</t>
  </si>
  <si>
    <t>Introduce software/packages with SCA, approved sources, secrets in vault.</t>
  </si>
  <si>
    <t>Engage third parties with TPRM checks, NDA/contract clauses, scoped access.</t>
  </si>
  <si>
    <t>Modify lab network segments, ACLs, VPN/jump access under change control.</t>
  </si>
  <si>
    <t>Bring data into/out of lab with classification, approved paths, retention/cleanup.</t>
  </si>
  <si>
    <t>Grant/modify/revoke access using RBAC, MFA, approvals and periodic reviews.</t>
  </si>
  <si>
    <t>Build/test pipelines with secret scanning, least-privileged agents, signed artifacts.</t>
  </si>
  <si>
    <t>Tool Administration</t>
  </si>
  <si>
    <t>Administer lab tools with least privilege, logging and approvals.</t>
  </si>
  <si>
    <t>Provision containers/VMs with signed images, runtime policies, isolation.</t>
  </si>
  <si>
    <t>Configure/validate backups and perform restore tests for recovery.</t>
  </si>
  <si>
    <t>Detect, report and investigate lab incidents using corporate IR process.</t>
  </si>
  <si>
    <t>Harden PaaS services, private endpoints, least-privileged principals.</t>
  </si>
  <si>
    <t>Run AI experiments with data minimization, guardrails, logging.</t>
  </si>
  <si>
    <t>Request/allocate GPU resources with RBAC, quotas and patch governance.</t>
  </si>
  <si>
    <t>&lt;Add your own here&gt;</t>
  </si>
  <si>
    <t>Add any use case not listed; this list is dynamic.</t>
  </si>
  <si>
    <t>In Progress</t>
  </si>
  <si>
    <t>Blocked</t>
  </si>
  <si>
    <t>Complete</t>
  </si>
  <si>
    <t>Risk Accepted</t>
  </si>
  <si>
    <t>Not Applicable</t>
  </si>
  <si>
    <t>Approval</t>
  </si>
  <si>
    <t>Approved</t>
  </si>
  <si>
    <t>Rejected</t>
  </si>
  <si>
    <t>YesNo</t>
  </si>
  <si>
    <t>Yes</t>
  </si>
  <si>
    <t>lab-owners; itam</t>
  </si>
  <si>
    <t>lab-owners; secops</t>
  </si>
  <si>
    <t>itam</t>
  </si>
  <si>
    <t>network; secops</t>
  </si>
  <si>
    <t>platform; secops</t>
  </si>
  <si>
    <t>iam-team; secops</t>
  </si>
  <si>
    <t>iam-team; lab-owners</t>
  </si>
  <si>
    <t>secops</t>
  </si>
  <si>
    <t>platform</t>
  </si>
  <si>
    <t>secops; lab-owners</t>
  </si>
  <si>
    <t>secops; platform</t>
  </si>
  <si>
    <t>lab-owners; platform</t>
  </si>
  <si>
    <t>data-owners; secops</t>
  </si>
  <si>
    <t>data-owners; platform</t>
  </si>
  <si>
    <t>secops; it-support</t>
  </si>
  <si>
    <t>it-support; secops</t>
  </si>
  <si>
    <t>lab-owners</t>
  </si>
  <si>
    <t>devops; platform</t>
  </si>
  <si>
    <t>secops; devops</t>
  </si>
  <si>
    <t>dr-team; platform</t>
  </si>
  <si>
    <t>lab-owners; change-board</t>
  </si>
  <si>
    <t>devops; secops</t>
  </si>
  <si>
    <t>privacy; secops</t>
  </si>
  <si>
    <t>data-owners; lab-owners</t>
  </si>
  <si>
    <t>facilities; lab-owners</t>
  </si>
  <si>
    <t>facilities; secops</t>
  </si>
  <si>
    <t>secops; hr</t>
  </si>
  <si>
    <t>devops; network</t>
  </si>
  <si>
    <t>itam; lab-owners</t>
  </si>
  <si>
    <t>iam-team; platform</t>
  </si>
  <si>
    <t>ai-safety; secops</t>
  </si>
  <si>
    <t>secops; ai-safety</t>
  </si>
  <si>
    <t>cloud-platform; secops</t>
  </si>
  <si>
    <t>cloud-platform; iam-team</t>
  </si>
  <si>
    <t>cloud-platform; network</t>
  </si>
  <si>
    <t>pki; secops</t>
  </si>
  <si>
    <t>pki; platform</t>
  </si>
  <si>
    <t>ai-safety; data-owners</t>
  </si>
  <si>
    <t>cloud-platform; platform</t>
  </si>
  <si>
    <t>cloud-platform; devops</t>
  </si>
  <si>
    <t>GRC</t>
  </si>
  <si>
    <t>Description (What It Means)</t>
  </si>
  <si>
    <t>Examples (When It Applies)</t>
  </si>
  <si>
    <t>Happens only when a specific activity occurs. Not time‑based.</t>
  </si>
  <si>
    <t>Must be completed once every week.</t>
  </si>
  <si>
    <t>Must be done once per month; typically recurring operational work.</t>
  </si>
  <si>
    <t>Must be done every 3 months (4× per year).</t>
  </si>
  <si>
    <t>Must be completed once per year, often tied to compliance, audit, or org‑wide requirements.</t>
  </si>
  <si>
    <t>Control is always active, automated, or enforced in real‑time; not a manual task.</t>
  </si>
  <si>
    <t>Happens whenever a change is made to infrastructure, configuration, or software.</t>
  </si>
  <si>
    <t>Happens each time code is deployed, or a new build/release is pushed. Common in DevOps pipelines.</t>
  </si>
  <si>
    <t>New asset is onboarded</t>
  </si>
  <si>
    <t>User requests new access</t>
  </si>
  <si>
    <t>A new tool/server/VM is deployed</t>
  </si>
  <si>
    <t>A USB exception is raised</t>
  </si>
  <si>
    <t>Weekly vulnerability review</t>
  </si>
  <si>
    <t>Weekly backup verification logs</t>
  </si>
  <si>
    <t>Weekly admin activity review</t>
  </si>
  <si>
    <t>Monthly patch cycle validation</t>
  </si>
  <si>
    <t>Monthly log review</t>
  </si>
  <si>
    <t>Monthly vulnerability scan</t>
  </si>
  <si>
    <t>Quarterly access review</t>
  </si>
  <si>
    <t>Quarterly privileged review</t>
  </si>
  <si>
    <t>Quarterly security posture assessment</t>
  </si>
  <si>
    <t>Annual AUP acknowledgement</t>
  </si>
  <si>
    <t>Annual security awareness training</t>
  </si>
  <si>
    <t>Annual risk assessment</t>
  </si>
  <si>
    <t>MFA enforced 24/7</t>
  </si>
  <si>
    <t>Continuous monitoring (SIEM/EDR)</t>
  </si>
  <si>
    <t>Always‑on logging of access &amp; config events</t>
  </si>
  <si>
    <t>Firewall update</t>
  </si>
  <si>
    <t>Network segmentation change</t>
  </si>
  <si>
    <t>Adding or modifying IAM permissions</t>
  </si>
  <si>
    <t>Updating a cloud configuration</t>
  </si>
  <si>
    <t>Secret scanning in CI/CD</t>
  </si>
  <si>
    <t>IaC scanning before deployment</t>
  </si>
  <si>
    <t>Container image scan per release</t>
  </si>
  <si>
    <t>SCA/SAST at each build</t>
  </si>
  <si>
    <t>Ref</t>
  </si>
  <si>
    <t>1. Purpose of This Template</t>
  </si>
  <si>
    <t>INSTRUCTIONS MENU</t>
  </si>
  <si>
    <t>INSTRUCTIONS – HOW TO USE THIS TEMPLATE</t>
  </si>
  <si>
    <t>Purpose</t>
  </si>
  <si>
    <t>Columns Guide</t>
  </si>
  <si>
    <t>This checklist helps users track implementation of security controls, provide evidence, determine risk, and prioritize remediation work. Risk is calculated automatically based on four inputs: Priority (Column M), Applicable? (Column N), Status (Column O), and Evidence Provided? (Column P). The system then calculates Risk Points (Column X) and Risk Rating (Column Y).</t>
  </si>
  <si>
    <t>Risk Rating</t>
  </si>
  <si>
    <t>2. Columns to Fill</t>
  </si>
  <si>
    <t>Below is a description of each editable column in the Checklist.</t>
  </si>
  <si>
    <t>Workflow</t>
  </si>
  <si>
    <t>A. Priority (Column M)</t>
  </si>
  <si>
    <t>Best Practices</t>
  </si>
  <si>
    <t>Defines the importance of the control. Choose one:</t>
  </si>
  <si>
    <t>This directly affects the Risk Points.</t>
  </si>
  <si>
    <t>B. Applicable? (Column N)</t>
  </si>
  <si>
    <t>Indicates whether the control applies to your system/project.</t>
  </si>
  <si>
    <t>If NA, Risk Points automatically become 0.</t>
  </si>
  <si>
    <t>C. Status (Column O)</t>
  </si>
  <si>
    <t>Shows current progress. Choose one:</t>
  </si>
  <si>
    <t>D. Evidence Provided? (Column P)</t>
  </si>
  <si>
    <t>Required only if Status = Complete:</t>
  </si>
  <si>
    <t>Examples: screenshot, tool output, approved ticket, configuration snapshot.</t>
  </si>
  <si>
    <t>4. Risk Rating (Column Y)</t>
  </si>
  <si>
    <t>Risk Rating is derived from Risk Points:</t>
  </si>
  <si>
    <t>6. Frequency Reference (If Included)</t>
  </si>
  <si>
    <t>Use these definitions if your sheet includes a Frequency column:</t>
  </si>
  <si>
    <t>7. User Workflow (Recommended Steps)</t>
  </si>
  <si>
    <t>1) Read the control description</t>
  </si>
  <si>
    <t>2) Set Priority</t>
  </si>
  <si>
    <t>3) Set Applicable?</t>
  </si>
  <si>
    <t>4) Set Status</t>
  </si>
  <si>
    <t>5) If Complete, attach/link Evidence</t>
  </si>
  <si>
    <t>6) Review Risk Points &amp; Risk</t>
  </si>
  <si>
    <t>7) Address Medium/High risk items and keep the sheet updated</t>
  </si>
  <si>
    <t>8. Best Practices</t>
  </si>
  <si>
    <r>
      <t xml:space="preserve">■ </t>
    </r>
    <r>
      <rPr>
        <b/>
        <sz val="11"/>
        <color theme="1"/>
        <rFont val="Calibri"/>
        <family val="2"/>
        <scheme val="minor"/>
      </rPr>
      <t>High</t>
    </r>
    <r>
      <rPr>
        <sz val="11"/>
        <color theme="1"/>
        <rFont val="Calibri"/>
        <family val="2"/>
        <scheme val="minor"/>
      </rPr>
      <t xml:space="preserve"> – Critical control; major risk if missing</t>
    </r>
  </si>
  <si>
    <t>■  YES – Control applies and must be implemented</t>
  </si>
  <si>
    <t>■  NA – Not applicable (excluded from risk scoring)</t>
  </si>
  <si>
    <t>■  Not Started – No action taken yet</t>
  </si>
  <si>
    <t>■  In Progress – Work underway</t>
  </si>
  <si>
    <t>■  Blocked – Waiting on dependency or issue</t>
  </si>
  <si>
    <t>■  Complete – Fully implemented</t>
  </si>
  <si>
    <t>■  Risk Accepted – Formal exception approved</t>
  </si>
  <si>
    <t>■  Not Applicable – Equivalent to NA; no risk</t>
  </si>
  <si>
    <t>■  Yes – Evidence available and validated</t>
  </si>
  <si>
    <t>■  No – Marked complete but missing proof (increases risk)</t>
  </si>
  <si>
    <t>■  4–5 points → High Risk</t>
  </si>
  <si>
    <t>■  2–3 points → Medium Risk</t>
  </si>
  <si>
    <t>■  0–1 points → Low Risk</t>
  </si>
  <si>
    <t>■  Provide evidence immediately when marking Complete</t>
  </si>
  <si>
    <t>■  Add comments for Blocked status</t>
  </si>
  <si>
    <t>■  Use NA sparingly and justify on record</t>
  </si>
  <si>
    <t>■  Keep Priority consistent across teams</t>
  </si>
  <si>
    <t>■  Review Medium-risk controls weekly or monthly</t>
  </si>
  <si>
    <r>
      <t xml:space="preserve">■ </t>
    </r>
    <r>
      <rPr>
        <b/>
        <sz val="11"/>
        <color theme="1"/>
        <rFont val="Calibri"/>
        <family val="2"/>
        <scheme val="minor"/>
      </rPr>
      <t>Medium</t>
    </r>
    <r>
      <rPr>
        <sz val="11"/>
        <color theme="1"/>
        <rFont val="Calibri"/>
        <family val="2"/>
        <scheme val="minor"/>
      </rPr>
      <t xml:space="preserve"> – Significant but not critical</t>
    </r>
  </si>
  <si>
    <r>
      <t xml:space="preserve">■ </t>
    </r>
    <r>
      <rPr>
        <b/>
        <sz val="11"/>
        <color theme="1"/>
        <rFont val="Calibri"/>
        <family val="2"/>
        <scheme val="minor"/>
      </rPr>
      <t>Low</t>
    </r>
    <r>
      <rPr>
        <sz val="11"/>
        <color theme="1"/>
        <rFont val="Calibri"/>
        <family val="2"/>
        <scheme val="minor"/>
      </rPr>
      <t xml:space="preserve"> – Low impact if delayed</t>
    </r>
  </si>
  <si>
    <r>
      <t xml:space="preserve">Per event – Only when the activity occurs; not time-based. </t>
    </r>
    <r>
      <rPr>
        <b/>
        <sz val="11"/>
        <color theme="1"/>
        <rFont val="Calibri"/>
        <family val="2"/>
        <scheme val="minor"/>
      </rPr>
      <t>Examples</t>
    </r>
    <r>
      <rPr>
        <sz val="11"/>
        <color theme="1"/>
        <rFont val="Calibri"/>
        <family val="2"/>
        <scheme val="minor"/>
      </rPr>
      <t>: Access change; new server/VM; new asset onboarding; exception raised</t>
    </r>
  </si>
  <si>
    <r>
      <t xml:space="preserve">Weekly – Occurs each week. </t>
    </r>
    <r>
      <rPr>
        <b/>
        <sz val="11"/>
        <color theme="1"/>
        <rFont val="Calibri"/>
        <family val="2"/>
        <scheme val="minor"/>
      </rPr>
      <t>Examples:</t>
    </r>
    <r>
      <rPr>
        <sz val="11"/>
        <color theme="1"/>
        <rFont val="Calibri"/>
        <family val="2"/>
        <scheme val="minor"/>
      </rPr>
      <t xml:space="preserve"> Weekly vulnerability review; backup verification; admin activity review</t>
    </r>
  </si>
  <si>
    <r>
      <t xml:space="preserve">Monthly – Occurs each month. </t>
    </r>
    <r>
      <rPr>
        <b/>
        <sz val="11"/>
        <color theme="1"/>
        <rFont val="Calibri"/>
        <family val="2"/>
        <scheme val="minor"/>
      </rPr>
      <t>Examples:</t>
    </r>
    <r>
      <rPr>
        <sz val="11"/>
        <color theme="1"/>
        <rFont val="Calibri"/>
        <family val="2"/>
        <scheme val="minor"/>
      </rPr>
      <t xml:space="preserve"> Monthly patch cycle validation; log review; vulnerability scan</t>
    </r>
  </si>
  <si>
    <r>
      <t xml:space="preserve">Quarterly – Every 3 months (4x/year). </t>
    </r>
    <r>
      <rPr>
        <b/>
        <sz val="11"/>
        <color theme="1"/>
        <rFont val="Calibri"/>
        <family val="2"/>
        <scheme val="minor"/>
      </rPr>
      <t>Examples:</t>
    </r>
    <r>
      <rPr>
        <sz val="11"/>
        <color theme="1"/>
        <rFont val="Calibri"/>
        <family val="2"/>
        <scheme val="minor"/>
      </rPr>
      <t xml:space="preserve"> Access review; privileged access review; posture assessment</t>
    </r>
  </si>
  <si>
    <r>
      <t xml:space="preserve">Annual – Once per year. </t>
    </r>
    <r>
      <rPr>
        <b/>
        <sz val="11"/>
        <color theme="1"/>
        <rFont val="Calibri"/>
        <family val="2"/>
        <scheme val="minor"/>
      </rPr>
      <t>Examples:</t>
    </r>
    <r>
      <rPr>
        <sz val="11"/>
        <color theme="1"/>
        <rFont val="Calibri"/>
        <family val="2"/>
        <scheme val="minor"/>
      </rPr>
      <t xml:space="preserve"> AUP acknowledgement; security awareness training; risk assessment</t>
    </r>
  </si>
  <si>
    <r>
      <t xml:space="preserve">Continuous – Always on; continuous enforcement/monitoring. </t>
    </r>
    <r>
      <rPr>
        <b/>
        <sz val="11"/>
        <color theme="1"/>
        <rFont val="Calibri"/>
        <family val="2"/>
        <scheme val="minor"/>
      </rPr>
      <t>Examples:</t>
    </r>
    <r>
      <rPr>
        <sz val="11"/>
        <color theme="1"/>
        <rFont val="Calibri"/>
        <family val="2"/>
        <scheme val="minor"/>
      </rPr>
      <t xml:space="preserve"> MFA enforcement; SIEM/EDR monitoring; always-on logging</t>
    </r>
  </si>
  <si>
    <r>
      <t xml:space="preserve">Per change – Every time a change occurs. </t>
    </r>
    <r>
      <rPr>
        <b/>
        <sz val="11"/>
        <color theme="1"/>
        <rFont val="Calibri"/>
        <family val="2"/>
        <scheme val="minor"/>
      </rPr>
      <t>Examples:</t>
    </r>
    <r>
      <rPr>
        <sz val="11"/>
        <color theme="1"/>
        <rFont val="Calibri"/>
        <family val="2"/>
        <scheme val="minor"/>
      </rPr>
      <t xml:space="preserve"> Firewall rule changes; segmentation updates; IAM modifications</t>
    </r>
  </si>
  <si>
    <r>
      <t xml:space="preserve">Per release – Each deployment/build release. </t>
    </r>
    <r>
      <rPr>
        <b/>
        <sz val="11"/>
        <color theme="1"/>
        <rFont val="Calibri"/>
        <family val="2"/>
        <scheme val="minor"/>
      </rPr>
      <t>Examples:</t>
    </r>
    <r>
      <rPr>
        <sz val="11"/>
        <color theme="1"/>
        <rFont val="Calibri"/>
        <family val="2"/>
        <scheme val="minor"/>
      </rPr>
      <t xml:space="preserve"> Secret scanning in CI/CD; IaC scanning; container image scanning</t>
    </r>
  </si>
  <si>
    <t>EDR (CrowdStrike Agent) installed; exceptions documented.</t>
  </si>
  <si>
    <t>Expanded Description</t>
  </si>
  <si>
    <t>What Risk it Prevents?</t>
  </si>
  <si>
    <t>Ensures every asset in the lab—whether physical or virtual—is classified by type so the correct security controls, ownership, and lifecycle requirements can be applied.</t>
  </si>
  <si>
    <t>Prevents shadow IT and unmanaged resource risks.</t>
  </si>
  <si>
    <t>Identifies the single accountable owner responsible for compliance, maintenance, updates, and security of the asset.</t>
  </si>
  <si>
    <t>This ensures traceability and accountability throughout the asset’s lifecycle.</t>
  </si>
  <si>
    <t>Labels assets appropriately to enforce non-production policies such as reduced data sensitivity, restricted connectivity, and controlled user access.</t>
  </si>
  <si>
    <t>Prevents accidental inclusion in production workflows.</t>
  </si>
  <si>
    <t>Documents how the asset will be deployed, maintained, upgraded, and retired.</t>
  </si>
  <si>
    <t>Ensures timely decommissioning and reduces security exposure from legacy or unused systems.</t>
  </si>
  <si>
    <t>Maintains unique identifiers (serial numbers, hostnames, IDs) for inventory accuracy.</t>
  </si>
  <si>
    <t>Enabling precise tracking, patching, and accountability in audits and investigations.</t>
  </si>
  <si>
    <t>Segregates lab environments from production networks.</t>
  </si>
  <si>
    <t>Prevent cross‑environment contamination, data leakage, and accidental access to sensitive systems.</t>
  </si>
  <si>
    <t>Prevents assets from accessing the internet directly. All outbound traffic must go through controlled services like proxies or jump hosts.</t>
  </si>
  <si>
    <t>Minimize risk and ensure monitoring.</t>
  </si>
  <si>
    <t>Restricts inbound traffic to only trusted IP addresses or networks.</t>
  </si>
  <si>
    <t>Reduces attack surface and enforces least privilege for system access.</t>
  </si>
  <si>
    <t>All outbound web traffic is routed through a secure proxy enforcing URL filtering.</t>
  </si>
  <si>
    <t>Block malicious sites and ensure compliance with usage policies.</t>
  </si>
  <si>
    <t>Implements micro‑segmentation to restrict internal traffic between hosts.</t>
  </si>
  <si>
    <t>Minimizing the risk of lateral movement during an intrusion.</t>
  </si>
  <si>
    <t>Ensures unnecessary or insecure ports/services are disabled.</t>
  </si>
  <si>
    <t>Reducing the attack surface and limiting exploitation opportunities.</t>
  </si>
  <si>
    <t>Allows remote admin access exclusively through secured pathways like VPN or jump hosts.</t>
  </si>
  <si>
    <t>strengthening authentication controls and monitoring.</t>
  </si>
  <si>
    <t>Role‑based access control ensures users only receive the minimum permissions required for their tasks.</t>
  </si>
  <si>
    <t>reducing risk of privilege misuse.</t>
  </si>
  <si>
    <t>Requires multi‑factor authentication for sensitive or administrative access.</t>
  </si>
  <si>
    <t>preventing unauthorized access even if credentials are compromised.</t>
  </si>
  <si>
    <t>Eliminates shared accounts to ensure full accountability and traceability.</t>
  </si>
  <si>
    <t>Break‑glass accounts must be tightly monitored and controlled.</t>
  </si>
  <si>
    <t>Privileged roles must be clearly identified and access strictly limited to approved users based on business justification.</t>
  </si>
  <si>
    <t xml:space="preserve">secured against unauthorized access and potential </t>
  </si>
  <si>
    <t>Ensures factory or vendor default credentials are changed to strong.</t>
  </si>
  <si>
    <t>unique ones to prevent easy compromise.</t>
  </si>
  <si>
    <t>Conducts routine reviews.</t>
  </si>
  <si>
    <t>confirm that access permissions remain appropriate and remove unnecessary access rights.</t>
  </si>
  <si>
    <t>Ensures endpoints are monitored with advanced detection capabilities. Exceptions must be documented with alternative compensating controls.</t>
  </si>
  <si>
    <t>monitor for suspicious behavior</t>
  </si>
  <si>
    <t>Disables hardware‑level debug interfaces that could allow deep access or data extraction unless explicitly approved.</t>
  </si>
  <si>
    <t>Prevent Reverse Engineering, Prevent Intellectual Property Theft and Prevent Tampering</t>
  </si>
  <si>
    <t>Confirms that all systems are supported by the vendor and receive patches. End‑of‑life systems must be updated or isolated.</t>
  </si>
  <si>
    <t>Reduce system level risk &amp; vulnerability</t>
  </si>
  <si>
    <t>Applies standardized hardening benchmarks such as CIS.</t>
  </si>
  <si>
    <t>reduce vulnerabilities through configuration best practices.</t>
  </si>
  <si>
    <t>Any exclusions (e.g., from scanning) must be temporary and automatically expire.</t>
  </si>
  <si>
    <t>prevent long‑term blind spots.</t>
  </si>
  <si>
    <t>Ensures security tools do not degrade lab performance.</t>
  </si>
  <si>
    <t>Performance reviews help maintain usability and compliance.</t>
  </si>
  <si>
    <t>All assets must report into the vulnerability management tool.</t>
  </si>
  <si>
    <t>ensure visibility into security weaknesses.</t>
  </si>
  <si>
    <t>Sets regular patching schedules for OS, firmware, and applications.</t>
  </si>
  <si>
    <t>minimize exposure windows.</t>
  </si>
  <si>
    <t>Automated vulnerability scans must be performed unless justified.</t>
  </si>
  <si>
    <t>Ensures timely detection of weaknesses.</t>
  </si>
  <si>
    <t>Assets that cannot be scanned automatically must undergo manual security assessments.</t>
  </si>
  <si>
    <t>avoid blind spots.</t>
  </si>
  <si>
    <t>Monitors vendor‑released advisories to stay aware of new vulnerabilities or required updates for lab technologies.</t>
  </si>
  <si>
    <t>prevent or reduce cybersecurity risks, operational failures, and compliance violations</t>
  </si>
  <si>
    <t>Defines required timeframes for fixing vulnerabilities based on severity.</t>
  </si>
  <si>
    <t>ensure timely remediation.</t>
  </si>
  <si>
    <t>Captures authentication and configuration logs for auditing, troubleshooting, and incident investigation.</t>
  </si>
  <si>
    <t>Enhance monitoring</t>
  </si>
  <si>
    <t>Centralizes logs in a SIEM platform for correlation, monitoring, and threat detection.</t>
  </si>
  <si>
    <t>minimizes the risk of delayed incident detection, data breaches, and security blind spots</t>
  </si>
  <si>
    <t>Ensures logs are still captured locally even when SIEM forwarding is unavailable.</t>
  </si>
  <si>
    <t>prevents or reduces the risk of total visibility loss and data gaps during network disruptions or central SIEM outages</t>
  </si>
  <si>
    <t>Schedules periodic manual reviews of logs.</t>
  </si>
  <si>
    <t>detect anomalies where automated tools may not be available.</t>
  </si>
  <si>
    <t>Ensures logs are retained as long as required for compliance, audits, and investigations.</t>
  </si>
  <si>
    <t>compliance requirement</t>
  </si>
  <si>
    <t>Identifies and classifies intellectual property and data types to apply the appropriate protection measures.</t>
  </si>
  <si>
    <t>preventing critical risks like unauthorized data breaches, IP theft/misappropriation, and non-compliance with regulations</t>
  </si>
  <si>
    <t>Confirms whether customer data is present in the lab and applies stricter controls if necessary.</t>
  </si>
  <si>
    <t>prevents or reduces the risk of unauthorized disclosure (data leakage/breach) and unauthorized modification (data integrity loss)</t>
  </si>
  <si>
    <t>Restricts access to sensitive IP or code repositories based on need‑to‑know principles.</t>
  </si>
  <si>
    <t xml:space="preserve">Restricting access to sensitive Intellectual Property (IP) or code repositories based on "need-to-know" principles (a key aspect of the Principle of Least Privilege) </t>
  </si>
  <si>
    <t>Prevents data from being stored in unsanctioned or insecure locations such as personal drives or unknown cloud services.</t>
  </si>
  <si>
    <t>Preventing data from being stored in unsanctioned (unapproved) or insecure locations primarily reduces the risk of Data Leakage and Data Breache</t>
  </si>
  <si>
    <t>Enforces use of secure, approved channels for data transfers.</t>
  </si>
  <si>
    <t>avoid leaks or tampering.</t>
  </si>
  <si>
    <t>Defines how long lab data must be retained and ensures secure deletion after its lifecycle.</t>
  </si>
  <si>
    <t>reduces critical risks such as legal penalties for non-compliance, security breaches of outdated information, and unnecessary storage expenses</t>
  </si>
  <si>
    <t>Section /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</si>
</sst>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D9E1F2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798F-39F5-4B42-B1A5-DE87FDAB8EAC}">
  <dimension ref="A1:B59"/>
  <sheetViews>
    <sheetView zoomScale="270" zoomScaleNormal="270"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B39" sqref="B39"/>
    </sheetView>
  </sheetViews>
  <sheetFormatPr baseColWidth="10" defaultColWidth="8.83203125" defaultRowHeight="15" x14ac:dyDescent="0.2"/>
  <cols>
    <col min="1" max="1" width="28" customWidth="1"/>
    <col min="2" max="2" width="120" customWidth="1"/>
  </cols>
  <sheetData>
    <row r="1" spans="1:2" ht="16" x14ac:dyDescent="0.2">
      <c r="A1" s="20" t="s">
        <v>1006</v>
      </c>
      <c r="B1" s="21" t="s">
        <v>1007</v>
      </c>
    </row>
    <row r="2" spans="1:2" ht="16" x14ac:dyDescent="0.2">
      <c r="A2" s="20" t="s">
        <v>1008</v>
      </c>
      <c r="B2" s="24" t="s">
        <v>1005</v>
      </c>
    </row>
    <row r="3" spans="1:2" ht="48" x14ac:dyDescent="0.2">
      <c r="B3" s="22" t="s">
        <v>1010</v>
      </c>
    </row>
    <row r="4" spans="1:2" ht="16" x14ac:dyDescent="0.2">
      <c r="A4" s="20" t="s">
        <v>1009</v>
      </c>
      <c r="B4" s="24" t="s">
        <v>1012</v>
      </c>
    </row>
    <row r="5" spans="1:2" ht="16" x14ac:dyDescent="0.2">
      <c r="B5" s="22" t="s">
        <v>1013</v>
      </c>
    </row>
    <row r="6" spans="1:2" ht="16" x14ac:dyDescent="0.2">
      <c r="B6" s="23" t="s">
        <v>1015</v>
      </c>
    </row>
    <row r="7" spans="1:2" ht="16" x14ac:dyDescent="0.2">
      <c r="B7" s="22" t="s">
        <v>1017</v>
      </c>
    </row>
    <row r="8" spans="1:2" ht="16" x14ac:dyDescent="0.2">
      <c r="B8" s="22" t="s">
        <v>1040</v>
      </c>
    </row>
    <row r="9" spans="1:2" ht="16" x14ac:dyDescent="0.2">
      <c r="B9" s="22" t="s">
        <v>1059</v>
      </c>
    </row>
    <row r="10" spans="1:2" ht="16" x14ac:dyDescent="0.2">
      <c r="B10" s="22" t="s">
        <v>1060</v>
      </c>
    </row>
    <row r="11" spans="1:2" ht="16" x14ac:dyDescent="0.2">
      <c r="B11" s="22" t="s">
        <v>1018</v>
      </c>
    </row>
    <row r="12" spans="1:2" ht="16" x14ac:dyDescent="0.2">
      <c r="B12" s="23" t="s">
        <v>1019</v>
      </c>
    </row>
    <row r="13" spans="1:2" ht="16" x14ac:dyDescent="0.2">
      <c r="B13" s="22" t="s">
        <v>1020</v>
      </c>
    </row>
    <row r="14" spans="1:2" ht="16" x14ac:dyDescent="0.2">
      <c r="B14" s="22" t="s">
        <v>1041</v>
      </c>
    </row>
    <row r="15" spans="1:2" ht="16" x14ac:dyDescent="0.2">
      <c r="B15" s="22" t="s">
        <v>1042</v>
      </c>
    </row>
    <row r="16" spans="1:2" ht="16" x14ac:dyDescent="0.2">
      <c r="B16" s="22" t="s">
        <v>1021</v>
      </c>
    </row>
    <row r="17" spans="1:2" ht="16" x14ac:dyDescent="0.2">
      <c r="B17" s="23" t="s">
        <v>1022</v>
      </c>
    </row>
    <row r="18" spans="1:2" ht="16" x14ac:dyDescent="0.2">
      <c r="B18" s="22" t="s">
        <v>1023</v>
      </c>
    </row>
    <row r="19" spans="1:2" ht="16" x14ac:dyDescent="0.2">
      <c r="B19" s="22" t="s">
        <v>1043</v>
      </c>
    </row>
    <row r="20" spans="1:2" ht="16" x14ac:dyDescent="0.2">
      <c r="B20" s="22" t="s">
        <v>1044</v>
      </c>
    </row>
    <row r="21" spans="1:2" ht="16" x14ac:dyDescent="0.2">
      <c r="B21" s="22" t="s">
        <v>1045</v>
      </c>
    </row>
    <row r="22" spans="1:2" ht="16" x14ac:dyDescent="0.2">
      <c r="B22" s="22" t="s">
        <v>1046</v>
      </c>
    </row>
    <row r="23" spans="1:2" ht="16" x14ac:dyDescent="0.2">
      <c r="B23" s="22" t="s">
        <v>1047</v>
      </c>
    </row>
    <row r="24" spans="1:2" ht="16" x14ac:dyDescent="0.2">
      <c r="B24" s="22" t="s">
        <v>1048</v>
      </c>
    </row>
    <row r="25" spans="1:2" ht="16" x14ac:dyDescent="0.2">
      <c r="B25" s="23" t="s">
        <v>1024</v>
      </c>
    </row>
    <row r="26" spans="1:2" ht="16" x14ac:dyDescent="0.2">
      <c r="B26" s="22" t="s">
        <v>1025</v>
      </c>
    </row>
    <row r="27" spans="1:2" ht="16" x14ac:dyDescent="0.2">
      <c r="B27" s="22" t="s">
        <v>1049</v>
      </c>
    </row>
    <row r="28" spans="1:2" ht="16" x14ac:dyDescent="0.2">
      <c r="B28" s="22" t="s">
        <v>1050</v>
      </c>
    </row>
    <row r="29" spans="1:2" ht="16" x14ac:dyDescent="0.2">
      <c r="B29" s="22" t="s">
        <v>1026</v>
      </c>
    </row>
    <row r="30" spans="1:2" ht="16" x14ac:dyDescent="0.2">
      <c r="A30" s="20" t="s">
        <v>1011</v>
      </c>
      <c r="B30" s="24" t="s">
        <v>1027</v>
      </c>
    </row>
    <row r="31" spans="1:2" ht="16" x14ac:dyDescent="0.2">
      <c r="B31" s="22" t="s">
        <v>1028</v>
      </c>
    </row>
    <row r="32" spans="1:2" ht="16" x14ac:dyDescent="0.2">
      <c r="B32" s="22" t="s">
        <v>1051</v>
      </c>
    </row>
    <row r="33" spans="1:2" ht="16" x14ac:dyDescent="0.2">
      <c r="B33" s="22" t="s">
        <v>1052</v>
      </c>
    </row>
    <row r="34" spans="1:2" ht="16" x14ac:dyDescent="0.2">
      <c r="B34" s="22" t="s">
        <v>1053</v>
      </c>
    </row>
    <row r="35" spans="1:2" ht="16" x14ac:dyDescent="0.2">
      <c r="A35" s="20" t="s">
        <v>10</v>
      </c>
      <c r="B35" s="24" t="s">
        <v>1029</v>
      </c>
    </row>
    <row r="36" spans="1:2" ht="16" x14ac:dyDescent="0.2">
      <c r="B36" s="22" t="s">
        <v>1030</v>
      </c>
    </row>
    <row r="37" spans="1:2" ht="16" x14ac:dyDescent="0.2">
      <c r="B37" s="25" t="s">
        <v>10</v>
      </c>
    </row>
    <row r="38" spans="1:2" ht="16" x14ac:dyDescent="0.2">
      <c r="B38" s="22" t="s">
        <v>1061</v>
      </c>
    </row>
    <row r="39" spans="1:2" ht="16" x14ac:dyDescent="0.2">
      <c r="B39" s="22" t="s">
        <v>1062</v>
      </c>
    </row>
    <row r="40" spans="1:2" ht="16" x14ac:dyDescent="0.2">
      <c r="B40" s="22" t="s">
        <v>1063</v>
      </c>
    </row>
    <row r="41" spans="1:2" ht="16" x14ac:dyDescent="0.2">
      <c r="B41" s="22" t="s">
        <v>1064</v>
      </c>
    </row>
    <row r="42" spans="1:2" ht="16" x14ac:dyDescent="0.2">
      <c r="B42" s="22" t="s">
        <v>1065</v>
      </c>
    </row>
    <row r="43" spans="1:2" ht="16" x14ac:dyDescent="0.2">
      <c r="B43" s="22" t="s">
        <v>1066</v>
      </c>
    </row>
    <row r="44" spans="1:2" ht="16" x14ac:dyDescent="0.2">
      <c r="B44" s="22" t="s">
        <v>1067</v>
      </c>
    </row>
    <row r="45" spans="1:2" ht="16" x14ac:dyDescent="0.2">
      <c r="B45" s="22" t="s">
        <v>1068</v>
      </c>
    </row>
    <row r="46" spans="1:2" ht="16" x14ac:dyDescent="0.2">
      <c r="A46" s="20" t="s">
        <v>1014</v>
      </c>
      <c r="B46" s="24" t="s">
        <v>1031</v>
      </c>
    </row>
    <row r="47" spans="1:2" ht="16" x14ac:dyDescent="0.2">
      <c r="B47" s="22" t="s">
        <v>1032</v>
      </c>
    </row>
    <row r="48" spans="1:2" ht="16" x14ac:dyDescent="0.2">
      <c r="B48" s="22" t="s">
        <v>1033</v>
      </c>
    </row>
    <row r="49" spans="1:2" ht="16" x14ac:dyDescent="0.2">
      <c r="B49" s="22" t="s">
        <v>1034</v>
      </c>
    </row>
    <row r="50" spans="1:2" ht="16" x14ac:dyDescent="0.2">
      <c r="B50" s="22" t="s">
        <v>1035</v>
      </c>
    </row>
    <row r="51" spans="1:2" ht="16" x14ac:dyDescent="0.2">
      <c r="B51" s="22" t="s">
        <v>1036</v>
      </c>
    </row>
    <row r="52" spans="1:2" ht="16" x14ac:dyDescent="0.2">
      <c r="B52" s="22" t="s">
        <v>1037</v>
      </c>
    </row>
    <row r="53" spans="1:2" ht="16" x14ac:dyDescent="0.2">
      <c r="B53" s="22" t="s">
        <v>1038</v>
      </c>
    </row>
    <row r="54" spans="1:2" ht="16" x14ac:dyDescent="0.2">
      <c r="A54" s="20" t="s">
        <v>1016</v>
      </c>
      <c r="B54" s="24" t="s">
        <v>1039</v>
      </c>
    </row>
    <row r="55" spans="1:2" ht="16" x14ac:dyDescent="0.2">
      <c r="B55" s="22" t="s">
        <v>1054</v>
      </c>
    </row>
    <row r="56" spans="1:2" ht="16" x14ac:dyDescent="0.2">
      <c r="B56" s="22" t="s">
        <v>1055</v>
      </c>
    </row>
    <row r="57" spans="1:2" ht="16" x14ac:dyDescent="0.2">
      <c r="B57" s="22" t="s">
        <v>1056</v>
      </c>
    </row>
    <row r="58" spans="1:2" ht="16" x14ac:dyDescent="0.2">
      <c r="B58" s="22" t="s">
        <v>1057</v>
      </c>
    </row>
    <row r="59" spans="1:2" ht="16" x14ac:dyDescent="0.2">
      <c r="B59" s="22" t="s">
        <v>1058</v>
      </c>
    </row>
  </sheetData>
  <sheetProtection algorithmName="SHA-512" hashValue="0poJ+V5w0pyxVSoLOj2Vq7Rj35Zpobnh/rM2BmIt5TtZusXPs6RnLZtgvngzK12BWDIU0cAAauj7Ok0RANbxLg==" saltValue="KIwKwo12H2zAtCLHRKyzIA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"/>
  <sheetViews>
    <sheetView tabSelected="1" zoomScale="290" zoomScaleNormal="2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baseColWidth="10" defaultColWidth="8.83203125" defaultRowHeight="15" x14ac:dyDescent="0.2"/>
  <cols>
    <col min="1" max="1" width="25" bestFit="1" customWidth="1"/>
    <col min="2" max="2" width="7.83203125" bestFit="1" customWidth="1"/>
    <col min="3" max="3" width="38.33203125" bestFit="1" customWidth="1"/>
    <col min="4" max="4" width="63.33203125" bestFit="1" customWidth="1"/>
    <col min="5" max="5" width="30.33203125" bestFit="1" customWidth="1"/>
    <col min="6" max="6" width="28.5" bestFit="1" customWidth="1"/>
    <col min="7" max="7" width="11.6640625" bestFit="1" customWidth="1"/>
    <col min="8" max="8" width="14.6640625" bestFit="1" customWidth="1"/>
    <col min="9" max="9" width="16.83203125" bestFit="1" customWidth="1"/>
    <col min="10" max="10" width="21.33203125" bestFit="1" customWidth="1"/>
    <col min="11" max="11" width="54" bestFit="1" customWidth="1"/>
    <col min="12" max="12" width="10" bestFit="1" customWidth="1"/>
    <col min="13" max="13" width="7.5" bestFit="1" customWidth="1"/>
    <col min="14" max="14" width="10.33203125" bestFit="1" customWidth="1"/>
    <col min="15" max="15" width="9.83203125" bestFit="1" customWidth="1"/>
    <col min="16" max="16" width="16.5" bestFit="1" customWidth="1"/>
    <col min="17" max="17" width="58" bestFit="1" customWidth="1"/>
    <col min="18" max="18" width="13.33203125" bestFit="1" customWidth="1"/>
    <col min="19" max="19" width="11" bestFit="1" customWidth="1"/>
    <col min="20" max="20" width="12.1640625" bestFit="1" customWidth="1"/>
    <col min="21" max="21" width="14.5" bestFit="1" customWidth="1"/>
    <col min="22" max="22" width="16" bestFit="1" customWidth="1"/>
    <col min="23" max="23" width="12.6640625" bestFit="1" customWidth="1"/>
    <col min="24" max="24" width="14.83203125" bestFit="1" customWidth="1"/>
    <col min="25" max="25" width="9.5" bestFit="1" customWidth="1"/>
    <col min="26" max="26" width="13.33203125" bestFit="1" customWidth="1"/>
    <col min="27" max="27" width="5.6640625" bestFit="1" customWidth="1"/>
  </cols>
  <sheetData>
    <row r="1" spans="1:27" x14ac:dyDescent="0.2">
      <c r="A1" s="1" t="s">
        <v>1154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926</v>
      </c>
      <c r="L2" t="s">
        <v>36</v>
      </c>
      <c r="M2" t="s">
        <v>37</v>
      </c>
      <c r="Q2" t="s">
        <v>40</v>
      </c>
      <c r="R2" t="s">
        <v>41</v>
      </c>
      <c r="X2">
        <f>_xlfn.LET(_xlpm.p,IF($M2="High",3,IF($M2="Medium",2,1)),_xlpm.st,$O2,_xlpm.app,$N2,_xlpm.ev,$P2,_xlpm.base,IF(OR(_xlpm.app="NA",_xlpm.st="Not Applicable",_xlpm.st="Risk Accepted"),0,IF(_xlpm.st="Complete",IF(_xlpm.ev="Yes",0,1),IF(_xlpm.st="In Progress",MAX(1,_xlpm.p-1),_xlpm.p))),MIN(5,_xlpm.base))</f>
        <v>2</v>
      </c>
      <c r="Y2" t="str">
        <f>IF($X2&gt;=4,"High",IF($X2&gt;=2,"Medium","Low"))</f>
        <v>Medium</v>
      </c>
    </row>
    <row r="3" spans="1:27" x14ac:dyDescent="0.2">
      <c r="A3" t="s">
        <v>26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32</v>
      </c>
      <c r="H3" t="s">
        <v>47</v>
      </c>
      <c r="I3" t="s">
        <v>34</v>
      </c>
      <c r="J3" t="s">
        <v>35</v>
      </c>
      <c r="K3" t="s">
        <v>926</v>
      </c>
      <c r="L3" t="s">
        <v>36</v>
      </c>
      <c r="M3" t="s">
        <v>48</v>
      </c>
      <c r="Q3" t="s">
        <v>49</v>
      </c>
      <c r="R3" t="s">
        <v>41</v>
      </c>
      <c r="X3">
        <f t="shared" ref="X3:X66" si="0">_xlfn.LET(_xlpm.p,IF($M3="High",3,IF($M3="Medium",2,1)),_xlpm.st,$O3,_xlpm.app,$N3,_xlpm.ev,$P3,_xlpm.base,IF(OR(_xlpm.app="NA",_xlpm.st="Not Applicable",_xlpm.st="Risk Accepted"),0,IF(_xlpm.st="Complete",IF(_xlpm.ev="Yes",0,1),IF(_xlpm.st="In Progress",MAX(1,_xlpm.p-1),_xlpm.p))),MIN(5,_xlpm.base))</f>
        <v>3</v>
      </c>
      <c r="Y3" t="str">
        <f t="shared" ref="Y3:Y66" si="1">IF($X3&gt;=4,"High",IF($X3&gt;=2,"Medium","Low"))</f>
        <v>Medium</v>
      </c>
    </row>
    <row r="4" spans="1:27" x14ac:dyDescent="0.2">
      <c r="A4" t="s">
        <v>26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927</v>
      </c>
      <c r="L4" t="s">
        <v>36</v>
      </c>
      <c r="M4" t="s">
        <v>48</v>
      </c>
      <c r="Q4" t="s">
        <v>49</v>
      </c>
      <c r="R4" t="s">
        <v>41</v>
      </c>
      <c r="X4">
        <f t="shared" si="0"/>
        <v>3</v>
      </c>
      <c r="Y4" t="str">
        <f t="shared" si="1"/>
        <v>Medium</v>
      </c>
    </row>
    <row r="5" spans="1:27" x14ac:dyDescent="0.2">
      <c r="A5" t="s">
        <v>26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35</v>
      </c>
      <c r="K5" t="s">
        <v>926</v>
      </c>
      <c r="L5" t="s">
        <v>36</v>
      </c>
      <c r="M5" t="s">
        <v>37</v>
      </c>
      <c r="Q5" t="s">
        <v>49</v>
      </c>
      <c r="R5" t="s">
        <v>41</v>
      </c>
      <c r="X5">
        <f t="shared" si="0"/>
        <v>2</v>
      </c>
      <c r="Y5" t="str">
        <f t="shared" si="1"/>
        <v>Medium</v>
      </c>
    </row>
    <row r="6" spans="1:27" x14ac:dyDescent="0.2">
      <c r="A6" t="s">
        <v>26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32</v>
      </c>
      <c r="H6" t="s">
        <v>47</v>
      </c>
      <c r="I6" t="s">
        <v>34</v>
      </c>
      <c r="J6" t="s">
        <v>72</v>
      </c>
      <c r="K6" t="s">
        <v>928</v>
      </c>
      <c r="L6" t="s">
        <v>36</v>
      </c>
      <c r="M6" t="s">
        <v>48</v>
      </c>
      <c r="Q6" t="s">
        <v>49</v>
      </c>
      <c r="R6" t="s">
        <v>41</v>
      </c>
      <c r="X6">
        <f t="shared" si="0"/>
        <v>3</v>
      </c>
      <c r="Y6" t="str">
        <f t="shared" si="1"/>
        <v>Medium</v>
      </c>
    </row>
    <row r="7" spans="1:27" x14ac:dyDescent="0.2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929</v>
      </c>
      <c r="L7" t="s">
        <v>83</v>
      </c>
      <c r="M7" t="s">
        <v>48</v>
      </c>
      <c r="Q7" t="s">
        <v>84</v>
      </c>
      <c r="R7" t="s">
        <v>41</v>
      </c>
      <c r="X7">
        <f t="shared" si="0"/>
        <v>3</v>
      </c>
      <c r="Y7" t="str">
        <f t="shared" si="1"/>
        <v>Medium</v>
      </c>
    </row>
    <row r="8" spans="1:27" x14ac:dyDescent="0.2">
      <c r="A8" t="s">
        <v>73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79</v>
      </c>
      <c r="H8" t="s">
        <v>90</v>
      </c>
      <c r="I8" t="s">
        <v>81</v>
      </c>
      <c r="J8" t="s">
        <v>82</v>
      </c>
      <c r="K8" t="s">
        <v>929</v>
      </c>
      <c r="L8" t="s">
        <v>83</v>
      </c>
      <c r="M8" t="s">
        <v>48</v>
      </c>
      <c r="Q8" t="s">
        <v>91</v>
      </c>
      <c r="R8" t="s">
        <v>41</v>
      </c>
      <c r="X8">
        <f t="shared" si="0"/>
        <v>3</v>
      </c>
      <c r="Y8" t="str">
        <f t="shared" si="1"/>
        <v>Medium</v>
      </c>
    </row>
    <row r="9" spans="1:27" x14ac:dyDescent="0.2">
      <c r="A9" t="s">
        <v>73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79</v>
      </c>
      <c r="H9" t="s">
        <v>80</v>
      </c>
      <c r="I9" t="s">
        <v>81</v>
      </c>
      <c r="J9" t="s">
        <v>82</v>
      </c>
      <c r="K9" t="s">
        <v>929</v>
      </c>
      <c r="L9" t="s">
        <v>83</v>
      </c>
      <c r="M9" t="s">
        <v>48</v>
      </c>
      <c r="Q9" t="s">
        <v>97</v>
      </c>
      <c r="R9" t="s">
        <v>41</v>
      </c>
      <c r="X9">
        <f t="shared" si="0"/>
        <v>3</v>
      </c>
      <c r="Y9" t="str">
        <f t="shared" si="1"/>
        <v>Medium</v>
      </c>
    </row>
    <row r="10" spans="1:27" x14ac:dyDescent="0.2">
      <c r="A10" t="s">
        <v>73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79</v>
      </c>
      <c r="H10" t="s">
        <v>90</v>
      </c>
      <c r="I10" t="s">
        <v>103</v>
      </c>
      <c r="J10" t="s">
        <v>82</v>
      </c>
      <c r="K10" t="s">
        <v>929</v>
      </c>
      <c r="L10" t="s">
        <v>104</v>
      </c>
      <c r="M10" t="s">
        <v>37</v>
      </c>
      <c r="Q10" t="s">
        <v>105</v>
      </c>
      <c r="R10" t="s">
        <v>41</v>
      </c>
      <c r="X10">
        <f t="shared" si="0"/>
        <v>2</v>
      </c>
      <c r="Y10" t="str">
        <f t="shared" si="1"/>
        <v>Medium</v>
      </c>
    </row>
    <row r="11" spans="1:27" x14ac:dyDescent="0.2">
      <c r="A11" t="s">
        <v>73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79</v>
      </c>
      <c r="H11" t="s">
        <v>80</v>
      </c>
      <c r="I11" t="s">
        <v>81</v>
      </c>
      <c r="J11" t="s">
        <v>82</v>
      </c>
      <c r="K11" t="s">
        <v>929</v>
      </c>
      <c r="L11" t="s">
        <v>83</v>
      </c>
      <c r="M11" t="s">
        <v>37</v>
      </c>
      <c r="Q11" t="s">
        <v>91</v>
      </c>
      <c r="R11" t="s">
        <v>41</v>
      </c>
      <c r="X11">
        <f t="shared" si="0"/>
        <v>2</v>
      </c>
      <c r="Y11" t="str">
        <f t="shared" si="1"/>
        <v>Medium</v>
      </c>
    </row>
    <row r="12" spans="1:27" x14ac:dyDescent="0.2">
      <c r="A12" t="s">
        <v>73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79</v>
      </c>
      <c r="H12" t="s">
        <v>116</v>
      </c>
      <c r="I12" t="s">
        <v>117</v>
      </c>
      <c r="J12" t="s">
        <v>118</v>
      </c>
      <c r="K12" t="s">
        <v>930</v>
      </c>
      <c r="L12" t="s">
        <v>119</v>
      </c>
      <c r="M12" t="s">
        <v>37</v>
      </c>
      <c r="Q12" t="s">
        <v>120</v>
      </c>
      <c r="R12" t="s">
        <v>41</v>
      </c>
      <c r="X12">
        <f t="shared" si="0"/>
        <v>2</v>
      </c>
      <c r="Y12" t="str">
        <f t="shared" si="1"/>
        <v>Medium</v>
      </c>
    </row>
    <row r="13" spans="1:27" x14ac:dyDescent="0.2">
      <c r="A13" t="s">
        <v>73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 t="s">
        <v>81</v>
      </c>
      <c r="J13" t="s">
        <v>82</v>
      </c>
      <c r="K13" t="s">
        <v>929</v>
      </c>
      <c r="L13" t="s">
        <v>83</v>
      </c>
      <c r="M13" t="s">
        <v>48</v>
      </c>
      <c r="Q13" t="s">
        <v>49</v>
      </c>
      <c r="R13" t="s">
        <v>41</v>
      </c>
      <c r="X13">
        <f t="shared" si="0"/>
        <v>3</v>
      </c>
      <c r="Y13" t="str">
        <f t="shared" si="1"/>
        <v>Medium</v>
      </c>
    </row>
    <row r="14" spans="1:27" x14ac:dyDescent="0.2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931</v>
      </c>
      <c r="L14" t="s">
        <v>36</v>
      </c>
      <c r="M14" t="s">
        <v>48</v>
      </c>
      <c r="Q14" t="s">
        <v>138</v>
      </c>
      <c r="R14" t="s">
        <v>41</v>
      </c>
      <c r="X14">
        <f t="shared" si="0"/>
        <v>3</v>
      </c>
      <c r="Y14" t="str">
        <f t="shared" si="1"/>
        <v>Medium</v>
      </c>
    </row>
    <row r="15" spans="1:27" x14ac:dyDescent="0.2">
      <c r="A15" t="s">
        <v>128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134</v>
      </c>
      <c r="H15" t="s">
        <v>144</v>
      </c>
      <c r="I15" t="s">
        <v>145</v>
      </c>
      <c r="J15" t="s">
        <v>137</v>
      </c>
      <c r="K15" t="s">
        <v>931</v>
      </c>
      <c r="L15" t="s">
        <v>146</v>
      </c>
      <c r="M15" t="s">
        <v>48</v>
      </c>
      <c r="Q15" t="s">
        <v>147</v>
      </c>
      <c r="R15" t="s">
        <v>41</v>
      </c>
      <c r="X15">
        <f t="shared" si="0"/>
        <v>3</v>
      </c>
      <c r="Y15" t="str">
        <f t="shared" si="1"/>
        <v>Medium</v>
      </c>
    </row>
    <row r="16" spans="1:27" x14ac:dyDescent="0.2">
      <c r="A16" t="s">
        <v>128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134</v>
      </c>
      <c r="H16" t="s">
        <v>153</v>
      </c>
      <c r="I16" t="s">
        <v>154</v>
      </c>
      <c r="J16" t="s">
        <v>137</v>
      </c>
      <c r="K16" t="s">
        <v>931</v>
      </c>
      <c r="L16" t="s">
        <v>146</v>
      </c>
      <c r="M16" t="s">
        <v>48</v>
      </c>
      <c r="Q16" t="s">
        <v>49</v>
      </c>
      <c r="R16" t="s">
        <v>41</v>
      </c>
      <c r="X16">
        <f t="shared" si="0"/>
        <v>3</v>
      </c>
      <c r="Y16" t="str">
        <f t="shared" si="1"/>
        <v>Medium</v>
      </c>
    </row>
    <row r="17" spans="1:25" x14ac:dyDescent="0.2">
      <c r="A17" t="s">
        <v>128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134</v>
      </c>
      <c r="H17" t="s">
        <v>160</v>
      </c>
      <c r="I17" t="s">
        <v>161</v>
      </c>
      <c r="J17" t="s">
        <v>137</v>
      </c>
      <c r="K17" t="s">
        <v>931</v>
      </c>
      <c r="L17" t="s">
        <v>162</v>
      </c>
      <c r="M17" t="s">
        <v>48</v>
      </c>
      <c r="Q17" t="s">
        <v>163</v>
      </c>
      <c r="R17" t="s">
        <v>41</v>
      </c>
      <c r="X17">
        <f t="shared" si="0"/>
        <v>3</v>
      </c>
      <c r="Y17" t="str">
        <f t="shared" si="1"/>
        <v>Medium</v>
      </c>
    </row>
    <row r="18" spans="1:25" x14ac:dyDescent="0.2">
      <c r="A18" t="s">
        <v>128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t="s">
        <v>118</v>
      </c>
      <c r="K18" t="s">
        <v>930</v>
      </c>
      <c r="L18" t="s">
        <v>119</v>
      </c>
      <c r="M18" t="s">
        <v>48</v>
      </c>
      <c r="Q18" t="s">
        <v>172</v>
      </c>
      <c r="R18" t="s">
        <v>41</v>
      </c>
      <c r="X18">
        <f t="shared" si="0"/>
        <v>3</v>
      </c>
      <c r="Y18" t="str">
        <f t="shared" si="1"/>
        <v>Medium</v>
      </c>
    </row>
    <row r="19" spans="1:25" x14ac:dyDescent="0.2">
      <c r="A19" t="s">
        <v>128</v>
      </c>
      <c r="B19" t="s">
        <v>173</v>
      </c>
      <c r="C19" t="s">
        <v>174</v>
      </c>
      <c r="D19" t="s">
        <v>175</v>
      </c>
      <c r="E19" t="s">
        <v>176</v>
      </c>
      <c r="F19" t="s">
        <v>177</v>
      </c>
      <c r="G19" t="s">
        <v>134</v>
      </c>
      <c r="H19" t="s">
        <v>178</v>
      </c>
      <c r="I19" t="s">
        <v>161</v>
      </c>
      <c r="J19" t="s">
        <v>179</v>
      </c>
      <c r="K19" t="s">
        <v>932</v>
      </c>
      <c r="L19" t="s">
        <v>162</v>
      </c>
      <c r="M19" t="s">
        <v>37</v>
      </c>
      <c r="Q19" t="s">
        <v>49</v>
      </c>
      <c r="R19" t="s">
        <v>41</v>
      </c>
      <c r="X19">
        <f t="shared" si="0"/>
        <v>2</v>
      </c>
      <c r="Y19" t="str">
        <f t="shared" si="1"/>
        <v>Medium</v>
      </c>
    </row>
    <row r="20" spans="1:25" x14ac:dyDescent="0.2">
      <c r="A20" t="s">
        <v>180</v>
      </c>
      <c r="B20" t="s">
        <v>181</v>
      </c>
      <c r="C20" t="s">
        <v>182</v>
      </c>
      <c r="D20" t="s">
        <v>1069</v>
      </c>
      <c r="E20" t="s">
        <v>183</v>
      </c>
      <c r="F20" t="s">
        <v>184</v>
      </c>
      <c r="G20" t="s">
        <v>185</v>
      </c>
      <c r="H20" t="s">
        <v>186</v>
      </c>
      <c r="I20" t="s">
        <v>187</v>
      </c>
      <c r="J20" t="s">
        <v>188</v>
      </c>
      <c r="K20" t="s">
        <v>933</v>
      </c>
      <c r="L20" t="s">
        <v>36</v>
      </c>
      <c r="M20" t="s">
        <v>48</v>
      </c>
      <c r="Q20" t="s">
        <v>189</v>
      </c>
      <c r="R20" t="s">
        <v>41</v>
      </c>
      <c r="X20">
        <f t="shared" si="0"/>
        <v>3</v>
      </c>
      <c r="Y20" t="str">
        <f t="shared" si="1"/>
        <v>Medium</v>
      </c>
    </row>
    <row r="21" spans="1:25" x14ac:dyDescent="0.2">
      <c r="A21" t="s">
        <v>180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79</v>
      </c>
      <c r="H21" t="s">
        <v>195</v>
      </c>
      <c r="I21" t="s">
        <v>117</v>
      </c>
      <c r="J21" t="s">
        <v>118</v>
      </c>
      <c r="K21" t="s">
        <v>930</v>
      </c>
      <c r="L21" t="s">
        <v>36</v>
      </c>
      <c r="M21" t="s">
        <v>37</v>
      </c>
      <c r="Q21" t="s">
        <v>196</v>
      </c>
      <c r="R21" t="s">
        <v>41</v>
      </c>
      <c r="X21">
        <f t="shared" si="0"/>
        <v>2</v>
      </c>
      <c r="Y21" t="str">
        <f t="shared" si="1"/>
        <v>Medium</v>
      </c>
    </row>
    <row r="22" spans="1:25" x14ac:dyDescent="0.2">
      <c r="A22" t="s">
        <v>180</v>
      </c>
      <c r="B22" t="s">
        <v>197</v>
      </c>
      <c r="C22" t="s">
        <v>198</v>
      </c>
      <c r="D22" t="s">
        <v>199</v>
      </c>
      <c r="E22" t="s">
        <v>200</v>
      </c>
      <c r="F22" t="s">
        <v>201</v>
      </c>
      <c r="G22" t="s">
        <v>202</v>
      </c>
      <c r="H22" t="s">
        <v>203</v>
      </c>
      <c r="I22" t="s">
        <v>204</v>
      </c>
      <c r="J22" t="s">
        <v>205</v>
      </c>
      <c r="K22" t="s">
        <v>934</v>
      </c>
      <c r="L22" t="s">
        <v>162</v>
      </c>
      <c r="M22" t="s">
        <v>37</v>
      </c>
      <c r="Q22" t="s">
        <v>49</v>
      </c>
      <c r="R22" t="s">
        <v>41</v>
      </c>
      <c r="X22">
        <f t="shared" si="0"/>
        <v>2</v>
      </c>
      <c r="Y22" t="str">
        <f t="shared" si="1"/>
        <v>Medium</v>
      </c>
    </row>
    <row r="23" spans="1:25" x14ac:dyDescent="0.2">
      <c r="A23" t="s">
        <v>180</v>
      </c>
      <c r="B23" t="s">
        <v>206</v>
      </c>
      <c r="C23" t="s">
        <v>207</v>
      </c>
      <c r="D23" t="s">
        <v>208</v>
      </c>
      <c r="E23" t="s">
        <v>209</v>
      </c>
      <c r="F23" t="s">
        <v>210</v>
      </c>
      <c r="G23" t="s">
        <v>211</v>
      </c>
      <c r="H23" t="s">
        <v>212</v>
      </c>
      <c r="I23" t="s">
        <v>213</v>
      </c>
      <c r="J23" t="s">
        <v>118</v>
      </c>
      <c r="K23" t="s">
        <v>930</v>
      </c>
      <c r="L23" t="s">
        <v>119</v>
      </c>
      <c r="M23" t="s">
        <v>48</v>
      </c>
      <c r="Q23" t="s">
        <v>214</v>
      </c>
      <c r="R23" t="s">
        <v>41</v>
      </c>
      <c r="X23">
        <f t="shared" si="0"/>
        <v>3</v>
      </c>
      <c r="Y23" t="str">
        <f t="shared" si="1"/>
        <v>Medium</v>
      </c>
    </row>
    <row r="24" spans="1:25" x14ac:dyDescent="0.2">
      <c r="A24" t="s">
        <v>180</v>
      </c>
      <c r="B24" t="s">
        <v>215</v>
      </c>
      <c r="C24" t="s">
        <v>216</v>
      </c>
      <c r="D24" t="s">
        <v>217</v>
      </c>
      <c r="E24" t="s">
        <v>218</v>
      </c>
      <c r="F24" t="s">
        <v>219</v>
      </c>
      <c r="G24" t="s">
        <v>211</v>
      </c>
      <c r="H24" t="s">
        <v>220</v>
      </c>
      <c r="I24" t="s">
        <v>221</v>
      </c>
      <c r="J24" t="s">
        <v>222</v>
      </c>
      <c r="K24" t="s">
        <v>935</v>
      </c>
      <c r="L24" t="s">
        <v>36</v>
      </c>
      <c r="M24" t="s">
        <v>37</v>
      </c>
      <c r="Q24" t="s">
        <v>49</v>
      </c>
      <c r="R24" t="s">
        <v>41</v>
      </c>
      <c r="X24">
        <f t="shared" si="0"/>
        <v>2</v>
      </c>
      <c r="Y24" t="str">
        <f t="shared" si="1"/>
        <v>Medium</v>
      </c>
    </row>
    <row r="25" spans="1:25" x14ac:dyDescent="0.2">
      <c r="A25" t="s">
        <v>180</v>
      </c>
      <c r="B25" t="s">
        <v>223</v>
      </c>
      <c r="C25" t="s">
        <v>224</v>
      </c>
      <c r="D25" t="s">
        <v>225</v>
      </c>
      <c r="E25" t="s">
        <v>226</v>
      </c>
      <c r="F25" t="s">
        <v>227</v>
      </c>
      <c r="G25" t="s">
        <v>202</v>
      </c>
      <c r="H25" t="s">
        <v>228</v>
      </c>
      <c r="I25" t="s">
        <v>204</v>
      </c>
      <c r="J25" t="s">
        <v>118</v>
      </c>
      <c r="K25" t="s">
        <v>930</v>
      </c>
      <c r="L25" t="s">
        <v>83</v>
      </c>
      <c r="M25" t="s">
        <v>229</v>
      </c>
      <c r="Q25" t="s">
        <v>49</v>
      </c>
      <c r="R25" t="s">
        <v>41</v>
      </c>
      <c r="X25">
        <f t="shared" si="0"/>
        <v>1</v>
      </c>
      <c r="Y25" t="str">
        <f t="shared" si="1"/>
        <v>Low</v>
      </c>
    </row>
    <row r="26" spans="1:25" x14ac:dyDescent="0.2">
      <c r="A26" t="s">
        <v>230</v>
      </c>
      <c r="B26" t="s">
        <v>231</v>
      </c>
      <c r="C26" t="s">
        <v>232</v>
      </c>
      <c r="D26" t="s">
        <v>233</v>
      </c>
      <c r="E26" t="s">
        <v>234</v>
      </c>
      <c r="F26" t="s">
        <v>235</v>
      </c>
      <c r="G26" t="s">
        <v>236</v>
      </c>
      <c r="H26" t="s">
        <v>228</v>
      </c>
      <c r="I26" t="s">
        <v>204</v>
      </c>
      <c r="J26" t="s">
        <v>237</v>
      </c>
      <c r="K26" t="s">
        <v>936</v>
      </c>
      <c r="L26" t="s">
        <v>238</v>
      </c>
      <c r="M26" t="s">
        <v>48</v>
      </c>
      <c r="Q26" t="s">
        <v>49</v>
      </c>
      <c r="R26" t="s">
        <v>41</v>
      </c>
      <c r="X26">
        <f t="shared" si="0"/>
        <v>3</v>
      </c>
      <c r="Y26" t="str">
        <f t="shared" si="1"/>
        <v>Medium</v>
      </c>
    </row>
    <row r="27" spans="1:25" x14ac:dyDescent="0.2">
      <c r="A27" t="s">
        <v>230</v>
      </c>
      <c r="B27" t="s">
        <v>239</v>
      </c>
      <c r="C27" t="s">
        <v>240</v>
      </c>
      <c r="D27" t="s">
        <v>241</v>
      </c>
      <c r="E27" t="s">
        <v>242</v>
      </c>
      <c r="F27" t="s">
        <v>243</v>
      </c>
      <c r="G27" t="s">
        <v>211</v>
      </c>
      <c r="H27" t="s">
        <v>244</v>
      </c>
      <c r="I27" t="s">
        <v>117</v>
      </c>
      <c r="J27" t="s">
        <v>205</v>
      </c>
      <c r="K27" t="s">
        <v>934</v>
      </c>
      <c r="L27" t="s">
        <v>238</v>
      </c>
      <c r="M27" t="s">
        <v>48</v>
      </c>
      <c r="Q27" t="s">
        <v>245</v>
      </c>
      <c r="R27" t="s">
        <v>41</v>
      </c>
      <c r="X27">
        <f t="shared" si="0"/>
        <v>3</v>
      </c>
      <c r="Y27" t="str">
        <f t="shared" si="1"/>
        <v>Medium</v>
      </c>
    </row>
    <row r="28" spans="1:25" x14ac:dyDescent="0.2">
      <c r="A28" t="s">
        <v>230</v>
      </c>
      <c r="B28" t="s">
        <v>246</v>
      </c>
      <c r="C28" t="s">
        <v>247</v>
      </c>
      <c r="D28" t="s">
        <v>248</v>
      </c>
      <c r="E28" t="s">
        <v>249</v>
      </c>
      <c r="F28" t="s">
        <v>250</v>
      </c>
      <c r="G28" t="s">
        <v>251</v>
      </c>
      <c r="H28" t="s">
        <v>228</v>
      </c>
      <c r="I28" t="s">
        <v>204</v>
      </c>
      <c r="J28" t="s">
        <v>188</v>
      </c>
      <c r="K28" t="s">
        <v>933</v>
      </c>
      <c r="L28" t="s">
        <v>238</v>
      </c>
      <c r="M28" t="s">
        <v>37</v>
      </c>
      <c r="Q28" t="s">
        <v>49</v>
      </c>
      <c r="R28" t="s">
        <v>41</v>
      </c>
      <c r="X28">
        <f t="shared" si="0"/>
        <v>2</v>
      </c>
      <c r="Y28" t="str">
        <f t="shared" si="1"/>
        <v>Medium</v>
      </c>
    </row>
    <row r="29" spans="1:25" x14ac:dyDescent="0.2">
      <c r="A29" t="s">
        <v>230</v>
      </c>
      <c r="B29" t="s">
        <v>252</v>
      </c>
      <c r="C29" t="s">
        <v>253</v>
      </c>
      <c r="D29" t="s">
        <v>254</v>
      </c>
      <c r="E29" t="s">
        <v>255</v>
      </c>
      <c r="F29" t="s">
        <v>256</v>
      </c>
      <c r="G29" t="s">
        <v>257</v>
      </c>
      <c r="H29" t="s">
        <v>228</v>
      </c>
      <c r="I29" t="s">
        <v>204</v>
      </c>
      <c r="J29" t="s">
        <v>258</v>
      </c>
      <c r="K29" t="s">
        <v>935</v>
      </c>
      <c r="L29" t="s">
        <v>238</v>
      </c>
      <c r="M29" t="s">
        <v>37</v>
      </c>
      <c r="Q29" t="s">
        <v>49</v>
      </c>
      <c r="R29" t="s">
        <v>41</v>
      </c>
      <c r="X29">
        <f t="shared" si="0"/>
        <v>2</v>
      </c>
      <c r="Y29" t="str">
        <f t="shared" si="1"/>
        <v>Medium</v>
      </c>
    </row>
    <row r="30" spans="1:25" x14ac:dyDescent="0.2">
      <c r="A30" t="s">
        <v>230</v>
      </c>
      <c r="B30" t="s">
        <v>259</v>
      </c>
      <c r="C30" t="s">
        <v>260</v>
      </c>
      <c r="D30" t="s">
        <v>261</v>
      </c>
      <c r="E30" t="s">
        <v>262</v>
      </c>
      <c r="F30" t="s">
        <v>263</v>
      </c>
      <c r="G30" t="s">
        <v>202</v>
      </c>
      <c r="H30" t="s">
        <v>203</v>
      </c>
      <c r="I30" t="s">
        <v>204</v>
      </c>
      <c r="J30" t="s">
        <v>118</v>
      </c>
      <c r="K30" t="s">
        <v>930</v>
      </c>
      <c r="L30" t="s">
        <v>238</v>
      </c>
      <c r="M30" t="s">
        <v>229</v>
      </c>
      <c r="Q30" t="s">
        <v>49</v>
      </c>
      <c r="R30" t="s">
        <v>41</v>
      </c>
      <c r="X30">
        <f t="shared" si="0"/>
        <v>1</v>
      </c>
      <c r="Y30" t="str">
        <f t="shared" si="1"/>
        <v>Low</v>
      </c>
    </row>
    <row r="31" spans="1:25" x14ac:dyDescent="0.2">
      <c r="A31" t="s">
        <v>230</v>
      </c>
      <c r="B31" t="s">
        <v>264</v>
      </c>
      <c r="C31" t="s">
        <v>265</v>
      </c>
      <c r="D31" t="s">
        <v>266</v>
      </c>
      <c r="E31" t="s">
        <v>267</v>
      </c>
      <c r="F31" t="s">
        <v>268</v>
      </c>
      <c r="G31" t="s">
        <v>211</v>
      </c>
      <c r="H31" t="s">
        <v>244</v>
      </c>
      <c r="I31" t="s">
        <v>204</v>
      </c>
      <c r="J31" t="s">
        <v>237</v>
      </c>
      <c r="K31" t="s">
        <v>936</v>
      </c>
      <c r="L31" t="s">
        <v>238</v>
      </c>
      <c r="M31" t="s">
        <v>48</v>
      </c>
      <c r="Q31" t="s">
        <v>49</v>
      </c>
      <c r="R31" t="s">
        <v>41</v>
      </c>
      <c r="X31">
        <f t="shared" si="0"/>
        <v>3</v>
      </c>
      <c r="Y31" t="str">
        <f t="shared" si="1"/>
        <v>Medium</v>
      </c>
    </row>
    <row r="32" spans="1:25" x14ac:dyDescent="0.2">
      <c r="A32" t="s">
        <v>269</v>
      </c>
      <c r="B32" t="s">
        <v>270</v>
      </c>
      <c r="C32" t="s">
        <v>271</v>
      </c>
      <c r="D32" t="s">
        <v>272</v>
      </c>
      <c r="E32" t="s">
        <v>273</v>
      </c>
      <c r="F32" t="s">
        <v>274</v>
      </c>
      <c r="G32" t="s">
        <v>251</v>
      </c>
      <c r="H32" t="s">
        <v>275</v>
      </c>
      <c r="I32" t="s">
        <v>276</v>
      </c>
      <c r="J32" t="s">
        <v>237</v>
      </c>
      <c r="K32" t="s">
        <v>936</v>
      </c>
      <c r="L32" t="s">
        <v>119</v>
      </c>
      <c r="M32" t="s">
        <v>48</v>
      </c>
      <c r="Q32" t="s">
        <v>49</v>
      </c>
      <c r="R32" t="s">
        <v>41</v>
      </c>
      <c r="X32">
        <f t="shared" si="0"/>
        <v>3</v>
      </c>
      <c r="Y32" t="str">
        <f t="shared" si="1"/>
        <v>Medium</v>
      </c>
    </row>
    <row r="33" spans="1:25" x14ac:dyDescent="0.2">
      <c r="A33" t="s">
        <v>269</v>
      </c>
      <c r="B33" t="s">
        <v>277</v>
      </c>
      <c r="C33" t="s">
        <v>278</v>
      </c>
      <c r="D33" t="s">
        <v>279</v>
      </c>
      <c r="E33" t="s">
        <v>280</v>
      </c>
      <c r="F33" t="s">
        <v>281</v>
      </c>
      <c r="G33" t="s">
        <v>251</v>
      </c>
      <c r="H33" t="s">
        <v>282</v>
      </c>
      <c r="I33" t="s">
        <v>276</v>
      </c>
      <c r="J33" t="s">
        <v>188</v>
      </c>
      <c r="K33" t="s">
        <v>933</v>
      </c>
      <c r="L33" t="s">
        <v>119</v>
      </c>
      <c r="M33" t="s">
        <v>48</v>
      </c>
      <c r="Q33" t="s">
        <v>49</v>
      </c>
      <c r="R33" t="s">
        <v>41</v>
      </c>
      <c r="X33">
        <f t="shared" si="0"/>
        <v>3</v>
      </c>
      <c r="Y33" t="str">
        <f t="shared" si="1"/>
        <v>Medium</v>
      </c>
    </row>
    <row r="34" spans="1:25" x14ac:dyDescent="0.2">
      <c r="A34" t="s">
        <v>269</v>
      </c>
      <c r="B34" t="s">
        <v>283</v>
      </c>
      <c r="C34" t="s">
        <v>284</v>
      </c>
      <c r="D34" t="s">
        <v>285</v>
      </c>
      <c r="E34" t="s">
        <v>286</v>
      </c>
      <c r="F34" t="s">
        <v>255</v>
      </c>
      <c r="G34" t="s">
        <v>257</v>
      </c>
      <c r="H34" t="s">
        <v>287</v>
      </c>
      <c r="I34" t="s">
        <v>276</v>
      </c>
      <c r="J34" t="s">
        <v>288</v>
      </c>
      <c r="K34" t="s">
        <v>937</v>
      </c>
      <c r="L34" t="s">
        <v>238</v>
      </c>
      <c r="M34" t="s">
        <v>37</v>
      </c>
      <c r="Q34" t="s">
        <v>49</v>
      </c>
      <c r="R34" t="s">
        <v>41</v>
      </c>
      <c r="X34">
        <f t="shared" si="0"/>
        <v>2</v>
      </c>
      <c r="Y34" t="str">
        <f t="shared" si="1"/>
        <v>Medium</v>
      </c>
    </row>
    <row r="35" spans="1:25" x14ac:dyDescent="0.2">
      <c r="A35" t="s">
        <v>269</v>
      </c>
      <c r="B35" t="s">
        <v>289</v>
      </c>
      <c r="C35" t="s">
        <v>290</v>
      </c>
      <c r="D35" t="s">
        <v>291</v>
      </c>
      <c r="E35" t="s">
        <v>292</v>
      </c>
      <c r="F35" t="s">
        <v>293</v>
      </c>
      <c r="G35" t="s">
        <v>257</v>
      </c>
      <c r="H35" t="s">
        <v>294</v>
      </c>
      <c r="I35" t="s">
        <v>295</v>
      </c>
      <c r="J35" t="s">
        <v>258</v>
      </c>
      <c r="K35" t="s">
        <v>935</v>
      </c>
      <c r="L35" t="s">
        <v>238</v>
      </c>
      <c r="M35" t="s">
        <v>229</v>
      </c>
      <c r="Q35" t="s">
        <v>49</v>
      </c>
      <c r="R35" t="s">
        <v>41</v>
      </c>
      <c r="X35">
        <f t="shared" si="0"/>
        <v>1</v>
      </c>
      <c r="Y35" t="str">
        <f t="shared" si="1"/>
        <v>Low</v>
      </c>
    </row>
    <row r="36" spans="1:25" x14ac:dyDescent="0.2">
      <c r="A36" t="s">
        <v>269</v>
      </c>
      <c r="B36" t="s">
        <v>296</v>
      </c>
      <c r="C36" t="s">
        <v>297</v>
      </c>
      <c r="D36" t="s">
        <v>298</v>
      </c>
      <c r="E36" t="s">
        <v>299</v>
      </c>
      <c r="F36" t="s">
        <v>300</v>
      </c>
      <c r="G36" t="s">
        <v>211</v>
      </c>
      <c r="H36" t="s">
        <v>287</v>
      </c>
      <c r="I36" t="s">
        <v>301</v>
      </c>
      <c r="J36" t="s">
        <v>188</v>
      </c>
      <c r="K36" t="s">
        <v>933</v>
      </c>
      <c r="L36" t="s">
        <v>302</v>
      </c>
      <c r="M36" t="s">
        <v>37</v>
      </c>
      <c r="Q36" t="s">
        <v>49</v>
      </c>
      <c r="R36" t="s">
        <v>41</v>
      </c>
      <c r="X36">
        <f t="shared" si="0"/>
        <v>2</v>
      </c>
      <c r="Y36" t="str">
        <f t="shared" si="1"/>
        <v>Medium</v>
      </c>
    </row>
    <row r="37" spans="1:25" x14ac:dyDescent="0.2">
      <c r="A37" t="s">
        <v>303</v>
      </c>
      <c r="B37" t="s">
        <v>304</v>
      </c>
      <c r="C37" t="s">
        <v>305</v>
      </c>
      <c r="D37" t="s">
        <v>306</v>
      </c>
      <c r="E37" t="s">
        <v>307</v>
      </c>
      <c r="F37" t="s">
        <v>308</v>
      </c>
      <c r="G37" t="s">
        <v>32</v>
      </c>
      <c r="H37" t="s">
        <v>309</v>
      </c>
      <c r="I37" t="s">
        <v>57</v>
      </c>
      <c r="J37" t="s">
        <v>310</v>
      </c>
      <c r="K37" t="s">
        <v>938</v>
      </c>
      <c r="L37" t="s">
        <v>36</v>
      </c>
      <c r="M37" t="s">
        <v>48</v>
      </c>
      <c r="Q37" t="s">
        <v>311</v>
      </c>
      <c r="R37" t="s">
        <v>41</v>
      </c>
      <c r="X37">
        <f t="shared" si="0"/>
        <v>3</v>
      </c>
      <c r="Y37" t="str">
        <f t="shared" si="1"/>
        <v>Medium</v>
      </c>
    </row>
    <row r="38" spans="1:25" x14ac:dyDescent="0.2">
      <c r="A38" t="s">
        <v>303</v>
      </c>
      <c r="B38" t="s">
        <v>312</v>
      </c>
      <c r="C38" t="s">
        <v>313</v>
      </c>
      <c r="D38" t="s">
        <v>314</v>
      </c>
      <c r="E38" t="s">
        <v>315</v>
      </c>
      <c r="F38" t="s">
        <v>316</v>
      </c>
      <c r="G38" t="s">
        <v>202</v>
      </c>
      <c r="H38" t="s">
        <v>203</v>
      </c>
      <c r="I38" t="s">
        <v>317</v>
      </c>
      <c r="J38" t="s">
        <v>310</v>
      </c>
      <c r="K38" t="s">
        <v>938</v>
      </c>
      <c r="L38" t="s">
        <v>36</v>
      </c>
      <c r="M38" t="s">
        <v>48</v>
      </c>
      <c r="Q38" t="s">
        <v>311</v>
      </c>
      <c r="R38" t="s">
        <v>41</v>
      </c>
      <c r="X38">
        <f t="shared" si="0"/>
        <v>3</v>
      </c>
      <c r="Y38" t="str">
        <f t="shared" si="1"/>
        <v>Medium</v>
      </c>
    </row>
    <row r="39" spans="1:25" x14ac:dyDescent="0.2">
      <c r="A39" t="s">
        <v>303</v>
      </c>
      <c r="B39" t="s">
        <v>318</v>
      </c>
      <c r="C39" t="s">
        <v>319</v>
      </c>
      <c r="D39" t="s">
        <v>320</v>
      </c>
      <c r="E39" t="s">
        <v>321</v>
      </c>
      <c r="F39" t="s">
        <v>322</v>
      </c>
      <c r="G39" t="s">
        <v>134</v>
      </c>
      <c r="H39" t="s">
        <v>323</v>
      </c>
      <c r="I39" t="s">
        <v>161</v>
      </c>
      <c r="J39" t="s">
        <v>222</v>
      </c>
      <c r="K39" t="s">
        <v>935</v>
      </c>
      <c r="L39" t="s">
        <v>36</v>
      </c>
      <c r="M39" t="s">
        <v>48</v>
      </c>
      <c r="Q39" t="s">
        <v>163</v>
      </c>
      <c r="R39" t="s">
        <v>41</v>
      </c>
      <c r="X39">
        <f t="shared" si="0"/>
        <v>3</v>
      </c>
      <c r="Y39" t="str">
        <f t="shared" si="1"/>
        <v>Medium</v>
      </c>
    </row>
    <row r="40" spans="1:25" x14ac:dyDescent="0.2">
      <c r="A40" t="s">
        <v>303</v>
      </c>
      <c r="B40" t="s">
        <v>324</v>
      </c>
      <c r="C40" t="s">
        <v>325</v>
      </c>
      <c r="D40" t="s">
        <v>326</v>
      </c>
      <c r="E40" t="s">
        <v>327</v>
      </c>
      <c r="F40" t="s">
        <v>328</v>
      </c>
      <c r="G40" t="s">
        <v>329</v>
      </c>
      <c r="H40" t="s">
        <v>330</v>
      </c>
      <c r="I40" t="s">
        <v>331</v>
      </c>
      <c r="J40" t="s">
        <v>118</v>
      </c>
      <c r="K40" t="s">
        <v>930</v>
      </c>
      <c r="L40" t="s">
        <v>36</v>
      </c>
      <c r="M40" t="s">
        <v>48</v>
      </c>
      <c r="Q40" t="s">
        <v>332</v>
      </c>
      <c r="R40" t="s">
        <v>41</v>
      </c>
      <c r="X40">
        <f t="shared" si="0"/>
        <v>3</v>
      </c>
      <c r="Y40" t="str">
        <f t="shared" si="1"/>
        <v>Medium</v>
      </c>
    </row>
    <row r="41" spans="1:25" x14ac:dyDescent="0.2">
      <c r="A41" t="s">
        <v>303</v>
      </c>
      <c r="B41" t="s">
        <v>333</v>
      </c>
      <c r="C41" t="s">
        <v>334</v>
      </c>
      <c r="D41" t="s">
        <v>335</v>
      </c>
      <c r="E41" t="s">
        <v>336</v>
      </c>
      <c r="F41" t="s">
        <v>337</v>
      </c>
      <c r="G41" t="s">
        <v>329</v>
      </c>
      <c r="H41" t="s">
        <v>338</v>
      </c>
      <c r="I41" t="s">
        <v>331</v>
      </c>
      <c r="J41" t="s">
        <v>82</v>
      </c>
      <c r="K41" t="s">
        <v>929</v>
      </c>
      <c r="L41" t="s">
        <v>36</v>
      </c>
      <c r="M41" t="s">
        <v>37</v>
      </c>
      <c r="Q41" t="s">
        <v>311</v>
      </c>
      <c r="R41" t="s">
        <v>41</v>
      </c>
      <c r="X41">
        <f t="shared" si="0"/>
        <v>2</v>
      </c>
      <c r="Y41" t="str">
        <f t="shared" si="1"/>
        <v>Medium</v>
      </c>
    </row>
    <row r="42" spans="1:25" x14ac:dyDescent="0.2">
      <c r="A42" t="s">
        <v>303</v>
      </c>
      <c r="B42" t="s">
        <v>339</v>
      </c>
      <c r="C42" t="s">
        <v>340</v>
      </c>
      <c r="D42" t="s">
        <v>341</v>
      </c>
      <c r="E42" t="s">
        <v>342</v>
      </c>
      <c r="F42" t="s">
        <v>343</v>
      </c>
      <c r="G42" t="s">
        <v>344</v>
      </c>
      <c r="H42" t="s">
        <v>345</v>
      </c>
      <c r="I42" t="s">
        <v>317</v>
      </c>
      <c r="J42" t="s">
        <v>346</v>
      </c>
      <c r="K42" t="s">
        <v>939</v>
      </c>
      <c r="L42" t="s">
        <v>162</v>
      </c>
      <c r="M42" t="s">
        <v>37</v>
      </c>
      <c r="Q42" t="s">
        <v>49</v>
      </c>
      <c r="R42" t="s">
        <v>41</v>
      </c>
      <c r="X42">
        <f t="shared" si="0"/>
        <v>2</v>
      </c>
      <c r="Y42" t="str">
        <f t="shared" si="1"/>
        <v>Medium</v>
      </c>
    </row>
    <row r="43" spans="1:25" x14ac:dyDescent="0.2">
      <c r="A43" t="s">
        <v>347</v>
      </c>
      <c r="B43" t="s">
        <v>348</v>
      </c>
      <c r="C43" t="s">
        <v>349</v>
      </c>
      <c r="D43" t="s">
        <v>350</v>
      </c>
      <c r="E43" t="s">
        <v>351</v>
      </c>
      <c r="F43" t="s">
        <v>352</v>
      </c>
      <c r="G43" t="s">
        <v>353</v>
      </c>
      <c r="H43" t="s">
        <v>354</v>
      </c>
      <c r="I43" t="s">
        <v>355</v>
      </c>
      <c r="J43" t="s">
        <v>356</v>
      </c>
      <c r="K43" t="s">
        <v>940</v>
      </c>
      <c r="L43" t="s">
        <v>36</v>
      </c>
      <c r="M43" t="s">
        <v>48</v>
      </c>
      <c r="Q43" t="s">
        <v>357</v>
      </c>
      <c r="R43" t="s">
        <v>41</v>
      </c>
      <c r="X43">
        <f t="shared" si="0"/>
        <v>3</v>
      </c>
      <c r="Y43" t="str">
        <f t="shared" si="1"/>
        <v>Medium</v>
      </c>
    </row>
    <row r="44" spans="1:25" x14ac:dyDescent="0.2">
      <c r="A44" t="s">
        <v>347</v>
      </c>
      <c r="B44" t="s">
        <v>358</v>
      </c>
      <c r="C44" t="s">
        <v>359</v>
      </c>
      <c r="D44" t="s">
        <v>360</v>
      </c>
      <c r="E44" t="s">
        <v>361</v>
      </c>
      <c r="F44" t="s">
        <v>362</v>
      </c>
      <c r="G44" t="s">
        <v>353</v>
      </c>
      <c r="H44" t="s">
        <v>354</v>
      </c>
      <c r="I44" t="s">
        <v>355</v>
      </c>
      <c r="J44" t="s">
        <v>363</v>
      </c>
      <c r="K44" t="s">
        <v>941</v>
      </c>
      <c r="L44" t="s">
        <v>83</v>
      </c>
      <c r="M44" t="s">
        <v>37</v>
      </c>
      <c r="Q44" t="s">
        <v>196</v>
      </c>
      <c r="R44" t="s">
        <v>41</v>
      </c>
      <c r="X44">
        <f t="shared" si="0"/>
        <v>2</v>
      </c>
      <c r="Y44" t="str">
        <f t="shared" si="1"/>
        <v>Medium</v>
      </c>
    </row>
    <row r="45" spans="1:25" x14ac:dyDescent="0.2">
      <c r="A45" t="s">
        <v>347</v>
      </c>
      <c r="B45" t="s">
        <v>364</v>
      </c>
      <c r="C45" t="s">
        <v>365</v>
      </c>
      <c r="D45" t="s">
        <v>366</v>
      </c>
      <c r="E45" t="s">
        <v>367</v>
      </c>
      <c r="F45" t="s">
        <v>368</v>
      </c>
      <c r="G45" t="s">
        <v>211</v>
      </c>
      <c r="H45" t="s">
        <v>220</v>
      </c>
      <c r="I45" t="s">
        <v>221</v>
      </c>
      <c r="J45" t="s">
        <v>222</v>
      </c>
      <c r="K45" t="s">
        <v>935</v>
      </c>
      <c r="L45" t="s">
        <v>36</v>
      </c>
      <c r="M45" t="s">
        <v>229</v>
      </c>
      <c r="Q45" t="s">
        <v>49</v>
      </c>
      <c r="R45" t="s">
        <v>41</v>
      </c>
      <c r="X45">
        <f t="shared" si="0"/>
        <v>1</v>
      </c>
      <c r="Y45" t="str">
        <f t="shared" si="1"/>
        <v>Low</v>
      </c>
    </row>
    <row r="46" spans="1:25" x14ac:dyDescent="0.2">
      <c r="A46" t="s">
        <v>347</v>
      </c>
      <c r="B46" t="s">
        <v>369</v>
      </c>
      <c r="C46" t="s">
        <v>370</v>
      </c>
      <c r="D46" t="s">
        <v>371</v>
      </c>
      <c r="E46" t="s">
        <v>372</v>
      </c>
      <c r="F46" t="s">
        <v>373</v>
      </c>
      <c r="G46" t="s">
        <v>211</v>
      </c>
      <c r="H46" t="s">
        <v>220</v>
      </c>
      <c r="I46" t="s">
        <v>221</v>
      </c>
      <c r="J46" t="s">
        <v>363</v>
      </c>
      <c r="K46" t="s">
        <v>941</v>
      </c>
      <c r="L46" t="s">
        <v>36</v>
      </c>
      <c r="M46" t="s">
        <v>37</v>
      </c>
      <c r="Q46" t="s">
        <v>49</v>
      </c>
      <c r="R46" t="s">
        <v>41</v>
      </c>
      <c r="X46">
        <f t="shared" si="0"/>
        <v>2</v>
      </c>
      <c r="Y46" t="str">
        <f t="shared" si="1"/>
        <v>Medium</v>
      </c>
    </row>
    <row r="47" spans="1:25" x14ac:dyDescent="0.2">
      <c r="A47" t="s">
        <v>347</v>
      </c>
      <c r="B47" t="s">
        <v>374</v>
      </c>
      <c r="C47" t="s">
        <v>375</v>
      </c>
      <c r="D47" t="s">
        <v>376</v>
      </c>
      <c r="E47" t="s">
        <v>377</v>
      </c>
      <c r="F47" t="s">
        <v>378</v>
      </c>
      <c r="G47" t="s">
        <v>211</v>
      </c>
      <c r="H47" t="s">
        <v>220</v>
      </c>
      <c r="I47" t="s">
        <v>221</v>
      </c>
      <c r="J47" t="s">
        <v>363</v>
      </c>
      <c r="K47" t="s">
        <v>941</v>
      </c>
      <c r="L47" t="s">
        <v>36</v>
      </c>
      <c r="M47" t="s">
        <v>37</v>
      </c>
      <c r="Q47" t="s">
        <v>49</v>
      </c>
      <c r="R47" t="s">
        <v>41</v>
      </c>
      <c r="X47">
        <f t="shared" si="0"/>
        <v>2</v>
      </c>
      <c r="Y47" t="str">
        <f t="shared" si="1"/>
        <v>Medium</v>
      </c>
    </row>
    <row r="48" spans="1:25" x14ac:dyDescent="0.2">
      <c r="A48" t="s">
        <v>379</v>
      </c>
      <c r="B48" t="s">
        <v>380</v>
      </c>
      <c r="C48" t="s">
        <v>381</v>
      </c>
      <c r="D48" t="s">
        <v>382</v>
      </c>
      <c r="E48" t="s">
        <v>383</v>
      </c>
      <c r="F48" t="s">
        <v>384</v>
      </c>
      <c r="G48" t="s">
        <v>385</v>
      </c>
      <c r="H48" t="s">
        <v>386</v>
      </c>
      <c r="I48" t="s">
        <v>387</v>
      </c>
      <c r="J48" t="s">
        <v>388</v>
      </c>
      <c r="K48" t="s">
        <v>933</v>
      </c>
      <c r="L48" t="s">
        <v>36</v>
      </c>
      <c r="M48" t="s">
        <v>48</v>
      </c>
      <c r="Q48" t="s">
        <v>389</v>
      </c>
      <c r="R48" t="s">
        <v>41</v>
      </c>
      <c r="X48">
        <f t="shared" si="0"/>
        <v>3</v>
      </c>
      <c r="Y48" t="str">
        <f t="shared" si="1"/>
        <v>Medium</v>
      </c>
    </row>
    <row r="49" spans="1:25" x14ac:dyDescent="0.2">
      <c r="A49" t="s">
        <v>379</v>
      </c>
      <c r="B49" t="s">
        <v>390</v>
      </c>
      <c r="C49" t="s">
        <v>391</v>
      </c>
      <c r="D49" t="s">
        <v>392</v>
      </c>
      <c r="E49" t="s">
        <v>393</v>
      </c>
      <c r="F49" t="s">
        <v>394</v>
      </c>
      <c r="G49" t="s">
        <v>385</v>
      </c>
      <c r="H49" t="s">
        <v>395</v>
      </c>
      <c r="I49" t="s">
        <v>396</v>
      </c>
      <c r="J49" t="s">
        <v>388</v>
      </c>
      <c r="K49" t="s">
        <v>933</v>
      </c>
      <c r="L49" t="s">
        <v>36</v>
      </c>
      <c r="M49" t="s">
        <v>37</v>
      </c>
      <c r="Q49" t="s">
        <v>389</v>
      </c>
      <c r="R49" t="s">
        <v>41</v>
      </c>
      <c r="X49">
        <f t="shared" si="0"/>
        <v>2</v>
      </c>
      <c r="Y49" t="str">
        <f t="shared" si="1"/>
        <v>Medium</v>
      </c>
    </row>
    <row r="50" spans="1:25" x14ac:dyDescent="0.2">
      <c r="A50" t="s">
        <v>379</v>
      </c>
      <c r="B50" t="s">
        <v>397</v>
      </c>
      <c r="C50" t="s">
        <v>398</v>
      </c>
      <c r="D50" t="s">
        <v>399</v>
      </c>
      <c r="E50" t="s">
        <v>400</v>
      </c>
      <c r="F50" t="s">
        <v>401</v>
      </c>
      <c r="G50" t="s">
        <v>55</v>
      </c>
      <c r="H50" t="s">
        <v>402</v>
      </c>
      <c r="I50" t="s">
        <v>403</v>
      </c>
      <c r="J50" t="s">
        <v>404</v>
      </c>
      <c r="K50" t="s">
        <v>966</v>
      </c>
      <c r="L50" t="s">
        <v>36</v>
      </c>
      <c r="M50" t="s">
        <v>48</v>
      </c>
      <c r="Q50" t="s">
        <v>389</v>
      </c>
      <c r="R50" t="s">
        <v>41</v>
      </c>
      <c r="X50">
        <f t="shared" si="0"/>
        <v>3</v>
      </c>
      <c r="Y50" t="str">
        <f t="shared" si="1"/>
        <v>Medium</v>
      </c>
    </row>
    <row r="51" spans="1:25" x14ac:dyDescent="0.2">
      <c r="A51" t="s">
        <v>379</v>
      </c>
      <c r="B51" t="s">
        <v>405</v>
      </c>
      <c r="C51" t="s">
        <v>406</v>
      </c>
      <c r="D51" t="s">
        <v>407</v>
      </c>
      <c r="E51" t="s">
        <v>408</v>
      </c>
      <c r="F51" t="s">
        <v>409</v>
      </c>
      <c r="G51" t="s">
        <v>134</v>
      </c>
      <c r="H51" t="s">
        <v>410</v>
      </c>
      <c r="I51" t="s">
        <v>161</v>
      </c>
      <c r="J51" t="s">
        <v>137</v>
      </c>
      <c r="K51" t="s">
        <v>931</v>
      </c>
      <c r="L51" t="s">
        <v>36</v>
      </c>
      <c r="M51" t="s">
        <v>48</v>
      </c>
      <c r="Q51" t="s">
        <v>411</v>
      </c>
      <c r="R51" t="s">
        <v>41</v>
      </c>
      <c r="X51">
        <f t="shared" si="0"/>
        <v>3</v>
      </c>
      <c r="Y51" t="str">
        <f t="shared" si="1"/>
        <v>Medium</v>
      </c>
    </row>
    <row r="52" spans="1:25" x14ac:dyDescent="0.2">
      <c r="A52" t="s">
        <v>379</v>
      </c>
      <c r="B52" t="s">
        <v>412</v>
      </c>
      <c r="C52" t="s">
        <v>413</v>
      </c>
      <c r="D52" t="s">
        <v>414</v>
      </c>
      <c r="E52" t="s">
        <v>415</v>
      </c>
      <c r="F52" t="s">
        <v>416</v>
      </c>
      <c r="G52" t="s">
        <v>32</v>
      </c>
      <c r="H52" t="s">
        <v>47</v>
      </c>
      <c r="I52" t="s">
        <v>34</v>
      </c>
      <c r="J52" t="s">
        <v>417</v>
      </c>
      <c r="K52" t="s">
        <v>942</v>
      </c>
      <c r="L52" t="s">
        <v>36</v>
      </c>
      <c r="M52" t="s">
        <v>37</v>
      </c>
      <c r="Q52" t="s">
        <v>389</v>
      </c>
      <c r="R52" t="s">
        <v>41</v>
      </c>
      <c r="X52">
        <f t="shared" si="0"/>
        <v>2</v>
      </c>
      <c r="Y52" t="str">
        <f t="shared" si="1"/>
        <v>Medium</v>
      </c>
    </row>
    <row r="53" spans="1:25" x14ac:dyDescent="0.2">
      <c r="A53" t="s">
        <v>418</v>
      </c>
      <c r="B53" t="s">
        <v>419</v>
      </c>
      <c r="C53" t="s">
        <v>420</v>
      </c>
      <c r="D53" t="s">
        <v>421</v>
      </c>
      <c r="E53" t="s">
        <v>209</v>
      </c>
      <c r="F53" t="s">
        <v>210</v>
      </c>
      <c r="G53" t="s">
        <v>211</v>
      </c>
      <c r="H53" t="s">
        <v>212</v>
      </c>
      <c r="I53" t="s">
        <v>213</v>
      </c>
      <c r="J53" t="s">
        <v>118</v>
      </c>
      <c r="K53" t="s">
        <v>930</v>
      </c>
      <c r="L53" t="s">
        <v>119</v>
      </c>
      <c r="M53" t="s">
        <v>48</v>
      </c>
      <c r="Q53" t="s">
        <v>214</v>
      </c>
      <c r="R53" t="s">
        <v>41</v>
      </c>
      <c r="X53">
        <f t="shared" si="0"/>
        <v>3</v>
      </c>
      <c r="Y53" t="str">
        <f t="shared" si="1"/>
        <v>Medium</v>
      </c>
    </row>
    <row r="54" spans="1:25" x14ac:dyDescent="0.2">
      <c r="A54" t="s">
        <v>418</v>
      </c>
      <c r="B54" t="s">
        <v>422</v>
      </c>
      <c r="C54" t="s">
        <v>423</v>
      </c>
      <c r="D54" t="s">
        <v>424</v>
      </c>
      <c r="E54" t="s">
        <v>425</v>
      </c>
      <c r="F54" t="s">
        <v>426</v>
      </c>
      <c r="G54" t="s">
        <v>211</v>
      </c>
      <c r="H54" t="s">
        <v>220</v>
      </c>
      <c r="I54" t="s">
        <v>221</v>
      </c>
      <c r="J54" t="s">
        <v>427</v>
      </c>
      <c r="K54" t="s">
        <v>943</v>
      </c>
      <c r="L54" t="s">
        <v>83</v>
      </c>
      <c r="M54" t="s">
        <v>37</v>
      </c>
      <c r="Q54" t="s">
        <v>428</v>
      </c>
      <c r="R54" t="s">
        <v>41</v>
      </c>
      <c r="X54">
        <f t="shared" si="0"/>
        <v>2</v>
      </c>
      <c r="Y54" t="str">
        <f t="shared" si="1"/>
        <v>Medium</v>
      </c>
    </row>
    <row r="55" spans="1:25" x14ac:dyDescent="0.2">
      <c r="A55" t="s">
        <v>418</v>
      </c>
      <c r="B55" t="s">
        <v>429</v>
      </c>
      <c r="C55" t="s">
        <v>430</v>
      </c>
      <c r="D55" t="s">
        <v>431</v>
      </c>
      <c r="E55" t="s">
        <v>114</v>
      </c>
      <c r="F55" t="s">
        <v>432</v>
      </c>
      <c r="G55" t="s">
        <v>79</v>
      </c>
      <c r="H55" t="s">
        <v>195</v>
      </c>
      <c r="I55" t="s">
        <v>117</v>
      </c>
      <c r="J55" t="s">
        <v>205</v>
      </c>
      <c r="K55" t="s">
        <v>934</v>
      </c>
      <c r="L55" t="s">
        <v>119</v>
      </c>
      <c r="M55" t="s">
        <v>37</v>
      </c>
      <c r="Q55" t="s">
        <v>120</v>
      </c>
      <c r="R55" t="s">
        <v>41</v>
      </c>
      <c r="X55">
        <f t="shared" si="0"/>
        <v>2</v>
      </c>
      <c r="Y55" t="str">
        <f t="shared" si="1"/>
        <v>Medium</v>
      </c>
    </row>
    <row r="56" spans="1:25" x14ac:dyDescent="0.2">
      <c r="A56" t="s">
        <v>418</v>
      </c>
      <c r="B56" t="s">
        <v>433</v>
      </c>
      <c r="C56" t="s">
        <v>434</v>
      </c>
      <c r="D56" t="s">
        <v>435</v>
      </c>
      <c r="E56" t="s">
        <v>436</v>
      </c>
      <c r="F56" t="s">
        <v>274</v>
      </c>
      <c r="G56" t="s">
        <v>437</v>
      </c>
      <c r="H56" t="s">
        <v>438</v>
      </c>
      <c r="I56" t="s">
        <v>439</v>
      </c>
      <c r="J56" t="s">
        <v>205</v>
      </c>
      <c r="K56" t="s">
        <v>934</v>
      </c>
      <c r="L56" t="s">
        <v>119</v>
      </c>
      <c r="M56" t="s">
        <v>229</v>
      </c>
      <c r="Q56" t="s">
        <v>49</v>
      </c>
      <c r="R56" t="s">
        <v>41</v>
      </c>
      <c r="X56">
        <f t="shared" si="0"/>
        <v>1</v>
      </c>
      <c r="Y56" t="str">
        <f t="shared" si="1"/>
        <v>Low</v>
      </c>
    </row>
    <row r="57" spans="1:25" x14ac:dyDescent="0.2">
      <c r="A57" t="s">
        <v>440</v>
      </c>
      <c r="B57" t="s">
        <v>441</v>
      </c>
      <c r="C57" t="s">
        <v>442</v>
      </c>
      <c r="D57" t="s">
        <v>443</v>
      </c>
      <c r="E57" t="s">
        <v>444</v>
      </c>
      <c r="F57" t="s">
        <v>445</v>
      </c>
      <c r="G57" t="s">
        <v>353</v>
      </c>
      <c r="H57" t="s">
        <v>446</v>
      </c>
      <c r="I57" t="s">
        <v>301</v>
      </c>
      <c r="J57" t="s">
        <v>447</v>
      </c>
      <c r="K57" t="s">
        <v>944</v>
      </c>
      <c r="L57" t="s">
        <v>146</v>
      </c>
      <c r="M57" t="s">
        <v>48</v>
      </c>
      <c r="Q57" t="s">
        <v>448</v>
      </c>
      <c r="R57" t="s">
        <v>41</v>
      </c>
      <c r="X57">
        <f t="shared" si="0"/>
        <v>3</v>
      </c>
      <c r="Y57" t="str">
        <f t="shared" si="1"/>
        <v>Medium</v>
      </c>
    </row>
    <row r="58" spans="1:25" x14ac:dyDescent="0.2">
      <c r="A58" t="s">
        <v>440</v>
      </c>
      <c r="B58" t="s">
        <v>449</v>
      </c>
      <c r="C58" t="s">
        <v>450</v>
      </c>
      <c r="D58" t="s">
        <v>451</v>
      </c>
      <c r="E58" t="s">
        <v>452</v>
      </c>
      <c r="F58" t="s">
        <v>453</v>
      </c>
      <c r="G58" t="s">
        <v>211</v>
      </c>
      <c r="H58" t="s">
        <v>454</v>
      </c>
      <c r="I58" t="s">
        <v>301</v>
      </c>
      <c r="J58" t="s">
        <v>455</v>
      </c>
      <c r="K58" t="s">
        <v>933</v>
      </c>
      <c r="L58" t="s">
        <v>162</v>
      </c>
      <c r="M58" t="s">
        <v>37</v>
      </c>
      <c r="Q58" t="s">
        <v>49</v>
      </c>
      <c r="R58" t="s">
        <v>41</v>
      </c>
      <c r="X58">
        <f t="shared" si="0"/>
        <v>2</v>
      </c>
      <c r="Y58" t="str">
        <f t="shared" si="1"/>
        <v>Medium</v>
      </c>
    </row>
    <row r="59" spans="1:25" x14ac:dyDescent="0.2">
      <c r="A59" t="s">
        <v>456</v>
      </c>
      <c r="B59" t="s">
        <v>457</v>
      </c>
      <c r="C59" t="s">
        <v>458</v>
      </c>
      <c r="D59" t="s">
        <v>459</v>
      </c>
      <c r="E59" t="s">
        <v>460</v>
      </c>
      <c r="F59" t="s">
        <v>461</v>
      </c>
      <c r="G59" t="s">
        <v>344</v>
      </c>
      <c r="H59" t="s">
        <v>462</v>
      </c>
      <c r="I59" t="s">
        <v>463</v>
      </c>
      <c r="J59" t="s">
        <v>464</v>
      </c>
      <c r="K59" t="s">
        <v>945</v>
      </c>
      <c r="L59" t="s">
        <v>465</v>
      </c>
      <c r="M59" t="s">
        <v>37</v>
      </c>
      <c r="Q59" t="s">
        <v>466</v>
      </c>
      <c r="R59" t="s">
        <v>41</v>
      </c>
      <c r="X59">
        <f t="shared" si="0"/>
        <v>2</v>
      </c>
      <c r="Y59" t="str">
        <f t="shared" si="1"/>
        <v>Medium</v>
      </c>
    </row>
    <row r="60" spans="1:25" x14ac:dyDescent="0.2">
      <c r="A60" t="s">
        <v>456</v>
      </c>
      <c r="B60" t="s">
        <v>467</v>
      </c>
      <c r="C60" t="s">
        <v>468</v>
      </c>
      <c r="D60" t="s">
        <v>469</v>
      </c>
      <c r="E60" t="s">
        <v>470</v>
      </c>
      <c r="F60" t="s">
        <v>471</v>
      </c>
      <c r="G60" t="s">
        <v>472</v>
      </c>
      <c r="H60" t="s">
        <v>473</v>
      </c>
      <c r="I60" t="s">
        <v>463</v>
      </c>
      <c r="J60" t="s">
        <v>205</v>
      </c>
      <c r="K60" t="s">
        <v>934</v>
      </c>
      <c r="L60" t="s">
        <v>119</v>
      </c>
      <c r="M60" t="s">
        <v>229</v>
      </c>
      <c r="Q60" t="s">
        <v>474</v>
      </c>
      <c r="R60" t="s">
        <v>41</v>
      </c>
      <c r="X60">
        <f t="shared" si="0"/>
        <v>1</v>
      </c>
      <c r="Y60" t="str">
        <f t="shared" si="1"/>
        <v>Low</v>
      </c>
    </row>
    <row r="61" spans="1:25" x14ac:dyDescent="0.2">
      <c r="A61" t="s">
        <v>475</v>
      </c>
      <c r="B61" t="s">
        <v>476</v>
      </c>
      <c r="C61" t="s">
        <v>477</v>
      </c>
      <c r="D61" t="s">
        <v>478</v>
      </c>
      <c r="E61" t="s">
        <v>479</v>
      </c>
      <c r="F61" t="s">
        <v>480</v>
      </c>
      <c r="G61" t="s">
        <v>481</v>
      </c>
      <c r="H61" t="s">
        <v>482</v>
      </c>
      <c r="I61" t="s">
        <v>483</v>
      </c>
      <c r="J61" t="s">
        <v>222</v>
      </c>
      <c r="K61" t="s">
        <v>935</v>
      </c>
      <c r="L61" t="s">
        <v>36</v>
      </c>
      <c r="M61" t="s">
        <v>48</v>
      </c>
      <c r="Q61" t="s">
        <v>484</v>
      </c>
      <c r="R61" t="s">
        <v>41</v>
      </c>
      <c r="X61">
        <f t="shared" si="0"/>
        <v>3</v>
      </c>
      <c r="Y61" t="str">
        <f t="shared" si="1"/>
        <v>Medium</v>
      </c>
    </row>
    <row r="62" spans="1:25" x14ac:dyDescent="0.2">
      <c r="A62" t="s">
        <v>475</v>
      </c>
      <c r="B62" t="s">
        <v>485</v>
      </c>
      <c r="C62" t="s">
        <v>486</v>
      </c>
      <c r="D62" t="s">
        <v>487</v>
      </c>
      <c r="E62" t="s">
        <v>488</v>
      </c>
      <c r="F62" t="s">
        <v>489</v>
      </c>
      <c r="G62" t="s">
        <v>437</v>
      </c>
      <c r="H62" t="s">
        <v>490</v>
      </c>
      <c r="I62" t="s">
        <v>439</v>
      </c>
      <c r="J62" t="s">
        <v>237</v>
      </c>
      <c r="K62" t="s">
        <v>936</v>
      </c>
      <c r="L62" t="s">
        <v>119</v>
      </c>
      <c r="M62" t="s">
        <v>37</v>
      </c>
      <c r="Q62" t="s">
        <v>484</v>
      </c>
      <c r="R62" t="s">
        <v>41</v>
      </c>
      <c r="X62">
        <f t="shared" si="0"/>
        <v>2</v>
      </c>
      <c r="Y62" t="str">
        <f t="shared" si="1"/>
        <v>Medium</v>
      </c>
    </row>
    <row r="63" spans="1:25" x14ac:dyDescent="0.2">
      <c r="A63" t="s">
        <v>491</v>
      </c>
      <c r="B63" t="s">
        <v>492</v>
      </c>
      <c r="C63" t="s">
        <v>493</v>
      </c>
      <c r="D63" t="s">
        <v>494</v>
      </c>
      <c r="E63" t="s">
        <v>495</v>
      </c>
      <c r="F63" t="s">
        <v>496</v>
      </c>
      <c r="G63" t="s">
        <v>211</v>
      </c>
      <c r="H63" t="s">
        <v>220</v>
      </c>
      <c r="I63" t="s">
        <v>221</v>
      </c>
      <c r="J63" t="s">
        <v>497</v>
      </c>
      <c r="K63" t="s">
        <v>946</v>
      </c>
      <c r="L63" t="s">
        <v>36</v>
      </c>
      <c r="M63" t="s">
        <v>37</v>
      </c>
      <c r="Q63" t="s">
        <v>49</v>
      </c>
      <c r="R63" t="s">
        <v>41</v>
      </c>
      <c r="X63">
        <f t="shared" si="0"/>
        <v>2</v>
      </c>
      <c r="Y63" t="str">
        <f t="shared" si="1"/>
        <v>Medium</v>
      </c>
    </row>
    <row r="64" spans="1:25" x14ac:dyDescent="0.2">
      <c r="A64" t="s">
        <v>491</v>
      </c>
      <c r="B64" t="s">
        <v>498</v>
      </c>
      <c r="C64" t="s">
        <v>499</v>
      </c>
      <c r="D64" t="s">
        <v>500</v>
      </c>
      <c r="E64" t="s">
        <v>501</v>
      </c>
      <c r="F64" t="s">
        <v>496</v>
      </c>
      <c r="G64" t="s">
        <v>64</v>
      </c>
      <c r="H64" t="s">
        <v>65</v>
      </c>
      <c r="I64" t="s">
        <v>221</v>
      </c>
      <c r="J64" t="s">
        <v>288</v>
      </c>
      <c r="K64" t="s">
        <v>937</v>
      </c>
      <c r="L64" t="s">
        <v>36</v>
      </c>
      <c r="M64" t="s">
        <v>37</v>
      </c>
      <c r="Q64" t="s">
        <v>49</v>
      </c>
      <c r="R64" t="s">
        <v>41</v>
      </c>
      <c r="X64">
        <f t="shared" si="0"/>
        <v>2</v>
      </c>
      <c r="Y64" t="str">
        <f t="shared" si="1"/>
        <v>Medium</v>
      </c>
    </row>
    <row r="65" spans="1:25" x14ac:dyDescent="0.2">
      <c r="A65" t="s">
        <v>502</v>
      </c>
      <c r="B65" t="s">
        <v>503</v>
      </c>
      <c r="C65" t="s">
        <v>504</v>
      </c>
      <c r="D65" t="s">
        <v>505</v>
      </c>
      <c r="E65" t="s">
        <v>506</v>
      </c>
      <c r="F65" t="s">
        <v>507</v>
      </c>
      <c r="G65" t="s">
        <v>385</v>
      </c>
      <c r="H65" t="s">
        <v>508</v>
      </c>
      <c r="I65" t="s">
        <v>396</v>
      </c>
      <c r="J65" t="s">
        <v>447</v>
      </c>
      <c r="K65" t="s">
        <v>944</v>
      </c>
      <c r="L65" t="s">
        <v>36</v>
      </c>
      <c r="M65" t="s">
        <v>37</v>
      </c>
      <c r="Q65" t="s">
        <v>509</v>
      </c>
      <c r="R65" t="s">
        <v>41</v>
      </c>
      <c r="X65">
        <f t="shared" si="0"/>
        <v>2</v>
      </c>
      <c r="Y65" t="str">
        <f t="shared" si="1"/>
        <v>Medium</v>
      </c>
    </row>
    <row r="66" spans="1:25" x14ac:dyDescent="0.2">
      <c r="A66" t="s">
        <v>502</v>
      </c>
      <c r="B66" t="s">
        <v>510</v>
      </c>
      <c r="C66" t="s">
        <v>511</v>
      </c>
      <c r="D66" t="s">
        <v>512</v>
      </c>
      <c r="E66" t="s">
        <v>513</v>
      </c>
      <c r="F66" t="s">
        <v>514</v>
      </c>
      <c r="G66" t="s">
        <v>385</v>
      </c>
      <c r="H66" t="s">
        <v>515</v>
      </c>
      <c r="I66" t="s">
        <v>396</v>
      </c>
      <c r="J66" t="s">
        <v>516</v>
      </c>
      <c r="K66" t="s">
        <v>947</v>
      </c>
      <c r="L66" t="s">
        <v>36</v>
      </c>
      <c r="M66" t="s">
        <v>37</v>
      </c>
      <c r="Q66" t="s">
        <v>448</v>
      </c>
      <c r="R66" t="s">
        <v>41</v>
      </c>
      <c r="X66">
        <f t="shared" si="0"/>
        <v>2</v>
      </c>
      <c r="Y66" t="str">
        <f t="shared" si="1"/>
        <v>Medium</v>
      </c>
    </row>
    <row r="67" spans="1:25" x14ac:dyDescent="0.2">
      <c r="A67" t="s">
        <v>517</v>
      </c>
      <c r="B67" t="s">
        <v>518</v>
      </c>
      <c r="C67" t="s">
        <v>519</v>
      </c>
      <c r="D67" t="s">
        <v>520</v>
      </c>
      <c r="E67" t="s">
        <v>425</v>
      </c>
      <c r="F67" t="s">
        <v>521</v>
      </c>
      <c r="G67" t="s">
        <v>211</v>
      </c>
      <c r="H67" t="s">
        <v>522</v>
      </c>
      <c r="I67" t="s">
        <v>523</v>
      </c>
      <c r="J67" t="s">
        <v>516</v>
      </c>
      <c r="K67" t="s">
        <v>947</v>
      </c>
      <c r="L67" t="s">
        <v>524</v>
      </c>
      <c r="M67" t="s">
        <v>37</v>
      </c>
      <c r="Q67" t="s">
        <v>525</v>
      </c>
      <c r="R67" t="s">
        <v>41</v>
      </c>
      <c r="X67">
        <f t="shared" ref="X67:X121" si="2">_xlfn.LET(_xlpm.p,IF($M67="High",3,IF($M67="Medium",2,1)),_xlpm.st,$O67,_xlpm.app,$N67,_xlpm.ev,$P67,_xlpm.base,IF(OR(_xlpm.app="NA",_xlpm.st="Not Applicable",_xlpm.st="Risk Accepted"),0,IF(_xlpm.st="Complete",IF(_xlpm.ev="Yes",0,1),IF(_xlpm.st="In Progress",MAX(1,_xlpm.p-1),_xlpm.p))),MIN(5,_xlpm.base))</f>
        <v>2</v>
      </c>
      <c r="Y67" t="str">
        <f t="shared" ref="Y67:Y121" si="3">IF($X67&gt;=4,"High",IF($X67&gt;=2,"Medium","Low"))</f>
        <v>Medium</v>
      </c>
    </row>
    <row r="68" spans="1:25" x14ac:dyDescent="0.2">
      <c r="A68" t="s">
        <v>517</v>
      </c>
      <c r="B68" t="s">
        <v>526</v>
      </c>
      <c r="C68" t="s">
        <v>527</v>
      </c>
      <c r="D68" t="s">
        <v>528</v>
      </c>
      <c r="E68" t="s">
        <v>529</v>
      </c>
      <c r="F68" t="s">
        <v>530</v>
      </c>
      <c r="G68" t="s">
        <v>531</v>
      </c>
      <c r="H68" t="s">
        <v>532</v>
      </c>
      <c r="I68" t="s">
        <v>34</v>
      </c>
      <c r="J68" t="s">
        <v>118</v>
      </c>
      <c r="K68" t="s">
        <v>930</v>
      </c>
      <c r="L68" t="s">
        <v>36</v>
      </c>
      <c r="M68" t="s">
        <v>37</v>
      </c>
      <c r="Q68" t="s">
        <v>533</v>
      </c>
      <c r="R68" t="s">
        <v>41</v>
      </c>
      <c r="X68">
        <f t="shared" si="2"/>
        <v>2</v>
      </c>
      <c r="Y68" t="str">
        <f t="shared" si="3"/>
        <v>Medium</v>
      </c>
    </row>
    <row r="69" spans="1:25" x14ac:dyDescent="0.2">
      <c r="A69" t="s">
        <v>534</v>
      </c>
      <c r="B69" t="s">
        <v>535</v>
      </c>
      <c r="C69" t="s">
        <v>536</v>
      </c>
      <c r="D69" t="s">
        <v>537</v>
      </c>
      <c r="E69" t="s">
        <v>368</v>
      </c>
      <c r="F69" t="s">
        <v>538</v>
      </c>
      <c r="G69" t="s">
        <v>539</v>
      </c>
      <c r="H69" t="s">
        <v>540</v>
      </c>
      <c r="I69" t="s">
        <v>541</v>
      </c>
      <c r="J69" t="s">
        <v>542</v>
      </c>
      <c r="K69" t="s">
        <v>948</v>
      </c>
      <c r="L69" t="s">
        <v>36</v>
      </c>
      <c r="M69" t="s">
        <v>48</v>
      </c>
      <c r="Q69" t="s">
        <v>311</v>
      </c>
      <c r="R69" t="s">
        <v>41</v>
      </c>
      <c r="X69">
        <f t="shared" si="2"/>
        <v>3</v>
      </c>
      <c r="Y69" t="str">
        <f t="shared" si="3"/>
        <v>Medium</v>
      </c>
    </row>
    <row r="70" spans="1:25" x14ac:dyDescent="0.2">
      <c r="A70" t="s">
        <v>534</v>
      </c>
      <c r="B70" t="s">
        <v>543</v>
      </c>
      <c r="C70" t="s">
        <v>544</v>
      </c>
      <c r="D70" t="s">
        <v>545</v>
      </c>
      <c r="E70" t="s">
        <v>546</v>
      </c>
      <c r="F70" t="s">
        <v>547</v>
      </c>
      <c r="G70" t="s">
        <v>329</v>
      </c>
      <c r="H70" t="s">
        <v>309</v>
      </c>
      <c r="I70" t="s">
        <v>66</v>
      </c>
      <c r="J70" t="s">
        <v>548</v>
      </c>
      <c r="K70" t="s">
        <v>949</v>
      </c>
      <c r="L70" t="s">
        <v>36</v>
      </c>
      <c r="M70" t="s">
        <v>229</v>
      </c>
      <c r="Q70" t="s">
        <v>49</v>
      </c>
      <c r="R70" t="s">
        <v>41</v>
      </c>
      <c r="X70">
        <f t="shared" si="2"/>
        <v>1</v>
      </c>
      <c r="Y70" t="str">
        <f t="shared" si="3"/>
        <v>Low</v>
      </c>
    </row>
    <row r="71" spans="1:25" x14ac:dyDescent="0.2">
      <c r="A71" t="s">
        <v>549</v>
      </c>
      <c r="B71" t="s">
        <v>550</v>
      </c>
      <c r="C71" t="s">
        <v>551</v>
      </c>
      <c r="D71" t="s">
        <v>552</v>
      </c>
      <c r="E71" t="s">
        <v>553</v>
      </c>
      <c r="F71" t="s">
        <v>554</v>
      </c>
      <c r="G71" t="s">
        <v>79</v>
      </c>
      <c r="H71" t="s">
        <v>555</v>
      </c>
      <c r="I71" t="s">
        <v>556</v>
      </c>
      <c r="J71" t="s">
        <v>557</v>
      </c>
      <c r="K71" t="s">
        <v>950</v>
      </c>
      <c r="L71" t="s">
        <v>36</v>
      </c>
      <c r="M71" t="s">
        <v>37</v>
      </c>
      <c r="Q71" t="s">
        <v>196</v>
      </c>
      <c r="R71" t="s">
        <v>41</v>
      </c>
      <c r="X71">
        <f t="shared" si="2"/>
        <v>2</v>
      </c>
      <c r="Y71" t="str">
        <f t="shared" si="3"/>
        <v>Medium</v>
      </c>
    </row>
    <row r="72" spans="1:25" x14ac:dyDescent="0.2">
      <c r="A72" t="s">
        <v>549</v>
      </c>
      <c r="B72" t="s">
        <v>558</v>
      </c>
      <c r="C72" t="s">
        <v>559</v>
      </c>
      <c r="D72" t="s">
        <v>560</v>
      </c>
      <c r="E72" t="s">
        <v>561</v>
      </c>
      <c r="F72" t="s">
        <v>562</v>
      </c>
      <c r="G72" t="s">
        <v>55</v>
      </c>
      <c r="H72" t="s">
        <v>563</v>
      </c>
      <c r="I72" t="s">
        <v>403</v>
      </c>
      <c r="J72" t="s">
        <v>564</v>
      </c>
      <c r="K72" t="s">
        <v>951</v>
      </c>
      <c r="L72" t="s">
        <v>36</v>
      </c>
      <c r="M72" t="s">
        <v>229</v>
      </c>
      <c r="Q72" t="s">
        <v>49</v>
      </c>
      <c r="R72" t="s">
        <v>41</v>
      </c>
      <c r="X72">
        <f t="shared" si="2"/>
        <v>1</v>
      </c>
      <c r="Y72" t="str">
        <f t="shared" si="3"/>
        <v>Low</v>
      </c>
    </row>
    <row r="73" spans="1:25" x14ac:dyDescent="0.2">
      <c r="A73" t="s">
        <v>565</v>
      </c>
      <c r="B73" t="s">
        <v>566</v>
      </c>
      <c r="C73" t="s">
        <v>567</v>
      </c>
      <c r="D73" t="s">
        <v>568</v>
      </c>
      <c r="E73" t="s">
        <v>569</v>
      </c>
      <c r="F73" t="s">
        <v>570</v>
      </c>
      <c r="G73" t="s">
        <v>169</v>
      </c>
      <c r="H73" t="s">
        <v>571</v>
      </c>
      <c r="I73" t="s">
        <v>117</v>
      </c>
      <c r="J73" t="s">
        <v>427</v>
      </c>
      <c r="K73" t="s">
        <v>943</v>
      </c>
      <c r="L73" t="s">
        <v>119</v>
      </c>
      <c r="M73" t="s">
        <v>37</v>
      </c>
      <c r="Q73" t="s">
        <v>572</v>
      </c>
      <c r="R73" t="s">
        <v>41</v>
      </c>
      <c r="X73">
        <f t="shared" si="2"/>
        <v>2</v>
      </c>
      <c r="Y73" t="str">
        <f t="shared" si="3"/>
        <v>Medium</v>
      </c>
    </row>
    <row r="74" spans="1:25" x14ac:dyDescent="0.2">
      <c r="A74" t="s">
        <v>565</v>
      </c>
      <c r="B74" t="s">
        <v>573</v>
      </c>
      <c r="C74" t="s">
        <v>574</v>
      </c>
      <c r="D74" t="s">
        <v>575</v>
      </c>
      <c r="E74" t="s">
        <v>425</v>
      </c>
      <c r="F74" t="s">
        <v>576</v>
      </c>
      <c r="G74" t="s">
        <v>577</v>
      </c>
      <c r="H74" t="s">
        <v>578</v>
      </c>
      <c r="I74" t="s">
        <v>301</v>
      </c>
      <c r="J74" t="s">
        <v>516</v>
      </c>
      <c r="K74" t="s">
        <v>947</v>
      </c>
      <c r="L74" t="s">
        <v>524</v>
      </c>
      <c r="M74" t="s">
        <v>37</v>
      </c>
      <c r="Q74" t="s">
        <v>579</v>
      </c>
      <c r="R74" t="s">
        <v>41</v>
      </c>
      <c r="X74">
        <f t="shared" si="2"/>
        <v>2</v>
      </c>
      <c r="Y74" t="str">
        <f t="shared" si="3"/>
        <v>Medium</v>
      </c>
    </row>
    <row r="75" spans="1:25" x14ac:dyDescent="0.2">
      <c r="A75" t="s">
        <v>580</v>
      </c>
      <c r="B75" t="s">
        <v>581</v>
      </c>
      <c r="C75" t="s">
        <v>582</v>
      </c>
      <c r="D75" t="s">
        <v>583</v>
      </c>
      <c r="E75" t="s">
        <v>584</v>
      </c>
      <c r="F75" t="s">
        <v>585</v>
      </c>
      <c r="G75" t="s">
        <v>586</v>
      </c>
      <c r="H75" t="s">
        <v>587</v>
      </c>
      <c r="I75" t="s">
        <v>588</v>
      </c>
      <c r="J75" t="s">
        <v>589</v>
      </c>
      <c r="K75" t="s">
        <v>952</v>
      </c>
      <c r="L75" t="s">
        <v>302</v>
      </c>
      <c r="M75" t="s">
        <v>37</v>
      </c>
      <c r="Q75" t="s">
        <v>590</v>
      </c>
      <c r="R75" t="s">
        <v>41</v>
      </c>
      <c r="X75">
        <f t="shared" si="2"/>
        <v>2</v>
      </c>
      <c r="Y75" t="str">
        <f t="shared" si="3"/>
        <v>Medium</v>
      </c>
    </row>
    <row r="76" spans="1:25" x14ac:dyDescent="0.2">
      <c r="A76" t="s">
        <v>580</v>
      </c>
      <c r="B76" t="s">
        <v>591</v>
      </c>
      <c r="C76" t="s">
        <v>592</v>
      </c>
      <c r="D76" t="s">
        <v>593</v>
      </c>
      <c r="E76" t="s">
        <v>594</v>
      </c>
      <c r="F76" t="s">
        <v>595</v>
      </c>
      <c r="G76" t="s">
        <v>596</v>
      </c>
      <c r="H76" t="s">
        <v>597</v>
      </c>
      <c r="I76" t="s">
        <v>588</v>
      </c>
      <c r="J76" t="s">
        <v>589</v>
      </c>
      <c r="K76" t="s">
        <v>952</v>
      </c>
      <c r="L76" t="s">
        <v>302</v>
      </c>
      <c r="M76" t="s">
        <v>229</v>
      </c>
      <c r="Q76" t="s">
        <v>49</v>
      </c>
      <c r="R76" t="s">
        <v>41</v>
      </c>
      <c r="X76">
        <f t="shared" si="2"/>
        <v>1</v>
      </c>
      <c r="Y76" t="str">
        <f t="shared" si="3"/>
        <v>Low</v>
      </c>
    </row>
    <row r="77" spans="1:25" x14ac:dyDescent="0.2">
      <c r="A77" t="s">
        <v>598</v>
      </c>
      <c r="B77" t="s">
        <v>599</v>
      </c>
      <c r="C77" t="s">
        <v>600</v>
      </c>
      <c r="D77" t="s">
        <v>601</v>
      </c>
      <c r="E77" t="s">
        <v>602</v>
      </c>
      <c r="F77" t="s">
        <v>603</v>
      </c>
      <c r="G77" t="s">
        <v>604</v>
      </c>
      <c r="H77" t="s">
        <v>605</v>
      </c>
      <c r="I77" t="s">
        <v>606</v>
      </c>
      <c r="J77" t="s">
        <v>516</v>
      </c>
      <c r="K77" t="s">
        <v>947</v>
      </c>
      <c r="L77" t="s">
        <v>524</v>
      </c>
      <c r="M77" t="s">
        <v>48</v>
      </c>
      <c r="Q77" t="s">
        <v>607</v>
      </c>
      <c r="R77" t="s">
        <v>41</v>
      </c>
      <c r="X77">
        <f t="shared" si="2"/>
        <v>3</v>
      </c>
      <c r="Y77" t="str">
        <f t="shared" si="3"/>
        <v>Medium</v>
      </c>
    </row>
    <row r="78" spans="1:25" x14ac:dyDescent="0.2">
      <c r="A78" t="s">
        <v>598</v>
      </c>
      <c r="B78" t="s">
        <v>608</v>
      </c>
      <c r="C78" t="s">
        <v>609</v>
      </c>
      <c r="D78" t="s">
        <v>610</v>
      </c>
      <c r="E78" t="s">
        <v>611</v>
      </c>
      <c r="F78" t="s">
        <v>612</v>
      </c>
      <c r="G78" t="s">
        <v>79</v>
      </c>
      <c r="H78" t="s">
        <v>116</v>
      </c>
      <c r="I78" t="s">
        <v>117</v>
      </c>
      <c r="J78" t="s">
        <v>516</v>
      </c>
      <c r="K78" t="s">
        <v>947</v>
      </c>
      <c r="L78" t="s">
        <v>524</v>
      </c>
      <c r="M78" t="s">
        <v>48</v>
      </c>
      <c r="Q78" t="s">
        <v>613</v>
      </c>
      <c r="R78" t="s">
        <v>41</v>
      </c>
      <c r="X78">
        <f t="shared" si="2"/>
        <v>3</v>
      </c>
      <c r="Y78" t="str">
        <f t="shared" si="3"/>
        <v>Medium</v>
      </c>
    </row>
    <row r="79" spans="1:25" x14ac:dyDescent="0.2">
      <c r="A79" t="s">
        <v>598</v>
      </c>
      <c r="B79" t="s">
        <v>614</v>
      </c>
      <c r="C79" t="s">
        <v>615</v>
      </c>
      <c r="D79" t="s">
        <v>616</v>
      </c>
      <c r="E79" t="s">
        <v>617</v>
      </c>
      <c r="F79" t="s">
        <v>618</v>
      </c>
      <c r="G79" t="s">
        <v>353</v>
      </c>
      <c r="H79" t="s">
        <v>619</v>
      </c>
      <c r="I79" t="s">
        <v>301</v>
      </c>
      <c r="J79" t="s">
        <v>447</v>
      </c>
      <c r="K79" t="s">
        <v>944</v>
      </c>
      <c r="L79" t="s">
        <v>524</v>
      </c>
      <c r="M79" t="s">
        <v>48</v>
      </c>
      <c r="Q79" t="s">
        <v>620</v>
      </c>
      <c r="R79" t="s">
        <v>41</v>
      </c>
      <c r="X79">
        <f t="shared" si="2"/>
        <v>3</v>
      </c>
      <c r="Y79" t="str">
        <f t="shared" si="3"/>
        <v>Medium</v>
      </c>
    </row>
    <row r="80" spans="1:25" x14ac:dyDescent="0.2">
      <c r="A80" t="s">
        <v>598</v>
      </c>
      <c r="B80" t="s">
        <v>621</v>
      </c>
      <c r="C80" t="s">
        <v>622</v>
      </c>
      <c r="D80" t="s">
        <v>623</v>
      </c>
      <c r="E80" t="s">
        <v>624</v>
      </c>
      <c r="F80" t="s">
        <v>625</v>
      </c>
      <c r="G80" t="s">
        <v>79</v>
      </c>
      <c r="H80" t="s">
        <v>80</v>
      </c>
      <c r="I80" t="s">
        <v>81</v>
      </c>
      <c r="J80" t="s">
        <v>626</v>
      </c>
      <c r="K80" t="s">
        <v>953</v>
      </c>
      <c r="L80" t="s">
        <v>83</v>
      </c>
      <c r="M80" t="s">
        <v>37</v>
      </c>
      <c r="Q80" t="s">
        <v>613</v>
      </c>
      <c r="R80" t="s">
        <v>41</v>
      </c>
      <c r="X80">
        <f t="shared" si="2"/>
        <v>2</v>
      </c>
      <c r="Y80" t="str">
        <f t="shared" si="3"/>
        <v>Medium</v>
      </c>
    </row>
    <row r="81" spans="1:25" x14ac:dyDescent="0.2">
      <c r="A81" t="s">
        <v>627</v>
      </c>
      <c r="B81" t="s">
        <v>628</v>
      </c>
      <c r="C81" t="s">
        <v>629</v>
      </c>
      <c r="D81" t="s">
        <v>630</v>
      </c>
      <c r="E81" t="s">
        <v>631</v>
      </c>
      <c r="F81" t="s">
        <v>71</v>
      </c>
      <c r="G81" t="s">
        <v>32</v>
      </c>
      <c r="H81" t="s">
        <v>47</v>
      </c>
      <c r="I81" t="s">
        <v>34</v>
      </c>
      <c r="J81" t="s">
        <v>632</v>
      </c>
      <c r="K81" t="s">
        <v>954</v>
      </c>
      <c r="L81" t="s">
        <v>36</v>
      </c>
      <c r="M81" t="s">
        <v>48</v>
      </c>
      <c r="Q81" t="s">
        <v>196</v>
      </c>
      <c r="R81" t="s">
        <v>41</v>
      </c>
      <c r="X81">
        <f t="shared" si="2"/>
        <v>3</v>
      </c>
      <c r="Y81" t="str">
        <f t="shared" si="3"/>
        <v>Medium</v>
      </c>
    </row>
    <row r="82" spans="1:25" x14ac:dyDescent="0.2">
      <c r="A82" t="s">
        <v>627</v>
      </c>
      <c r="B82" t="s">
        <v>633</v>
      </c>
      <c r="C82" t="s">
        <v>634</v>
      </c>
      <c r="D82" t="s">
        <v>635</v>
      </c>
      <c r="E82" t="s">
        <v>77</v>
      </c>
      <c r="F82" t="s">
        <v>636</v>
      </c>
      <c r="G82" t="s">
        <v>79</v>
      </c>
      <c r="H82" t="s">
        <v>80</v>
      </c>
      <c r="I82" t="s">
        <v>81</v>
      </c>
      <c r="J82" t="s">
        <v>82</v>
      </c>
      <c r="K82" t="s">
        <v>929</v>
      </c>
      <c r="L82" t="s">
        <v>83</v>
      </c>
      <c r="M82" t="s">
        <v>48</v>
      </c>
      <c r="Q82" t="s">
        <v>91</v>
      </c>
      <c r="R82" t="s">
        <v>41</v>
      </c>
      <c r="X82">
        <f t="shared" si="2"/>
        <v>3</v>
      </c>
      <c r="Y82" t="str">
        <f t="shared" si="3"/>
        <v>Medium</v>
      </c>
    </row>
    <row r="83" spans="1:25" x14ac:dyDescent="0.2">
      <c r="A83" t="s">
        <v>627</v>
      </c>
      <c r="B83" t="s">
        <v>637</v>
      </c>
      <c r="C83" t="s">
        <v>638</v>
      </c>
      <c r="D83" t="s">
        <v>639</v>
      </c>
      <c r="E83" t="s">
        <v>640</v>
      </c>
      <c r="F83" t="s">
        <v>641</v>
      </c>
      <c r="G83" t="s">
        <v>642</v>
      </c>
      <c r="H83" t="s">
        <v>643</v>
      </c>
      <c r="I83" t="s">
        <v>644</v>
      </c>
      <c r="J83" t="s">
        <v>118</v>
      </c>
      <c r="K83" t="s">
        <v>930</v>
      </c>
      <c r="L83" t="s">
        <v>162</v>
      </c>
      <c r="M83" t="s">
        <v>37</v>
      </c>
      <c r="Q83" t="s">
        <v>196</v>
      </c>
      <c r="R83" t="s">
        <v>41</v>
      </c>
      <c r="X83">
        <f t="shared" si="2"/>
        <v>2</v>
      </c>
      <c r="Y83" t="str">
        <f t="shared" si="3"/>
        <v>Medium</v>
      </c>
    </row>
    <row r="84" spans="1:25" x14ac:dyDescent="0.2">
      <c r="A84" t="s">
        <v>645</v>
      </c>
      <c r="B84" t="s">
        <v>646</v>
      </c>
      <c r="C84" t="s">
        <v>647</v>
      </c>
      <c r="D84" t="s">
        <v>648</v>
      </c>
      <c r="E84" t="s">
        <v>649</v>
      </c>
      <c r="F84" t="s">
        <v>650</v>
      </c>
      <c r="G84" t="s">
        <v>134</v>
      </c>
      <c r="H84" t="s">
        <v>651</v>
      </c>
      <c r="I84" t="s">
        <v>161</v>
      </c>
      <c r="J84" t="s">
        <v>652</v>
      </c>
      <c r="K84" t="s">
        <v>955</v>
      </c>
      <c r="L84" t="s">
        <v>36</v>
      </c>
      <c r="M84" t="s">
        <v>48</v>
      </c>
      <c r="Q84" t="s">
        <v>653</v>
      </c>
      <c r="R84" t="s">
        <v>41</v>
      </c>
      <c r="X84">
        <f t="shared" si="2"/>
        <v>3</v>
      </c>
      <c r="Y84" t="str">
        <f t="shared" si="3"/>
        <v>Medium</v>
      </c>
    </row>
    <row r="85" spans="1:25" x14ac:dyDescent="0.2">
      <c r="A85" t="s">
        <v>645</v>
      </c>
      <c r="B85" t="s">
        <v>654</v>
      </c>
      <c r="C85" t="s">
        <v>655</v>
      </c>
      <c r="D85" t="s">
        <v>656</v>
      </c>
      <c r="E85" t="s">
        <v>657</v>
      </c>
      <c r="F85" t="s">
        <v>658</v>
      </c>
      <c r="G85" t="s">
        <v>211</v>
      </c>
      <c r="H85" t="s">
        <v>244</v>
      </c>
      <c r="I85" t="s">
        <v>117</v>
      </c>
      <c r="J85" t="s">
        <v>205</v>
      </c>
      <c r="K85" t="s">
        <v>934</v>
      </c>
      <c r="L85" t="s">
        <v>238</v>
      </c>
      <c r="M85" t="s">
        <v>37</v>
      </c>
      <c r="Q85" t="s">
        <v>659</v>
      </c>
      <c r="R85" t="s">
        <v>41</v>
      </c>
      <c r="X85">
        <f t="shared" si="2"/>
        <v>2</v>
      </c>
      <c r="Y85" t="str">
        <f t="shared" si="3"/>
        <v>Medium</v>
      </c>
    </row>
    <row r="86" spans="1:25" x14ac:dyDescent="0.2">
      <c r="A86" t="s">
        <v>645</v>
      </c>
      <c r="B86" t="s">
        <v>660</v>
      </c>
      <c r="C86" t="s">
        <v>661</v>
      </c>
      <c r="D86" t="s">
        <v>662</v>
      </c>
      <c r="E86" t="s">
        <v>663</v>
      </c>
      <c r="F86" t="s">
        <v>664</v>
      </c>
      <c r="G86" t="s">
        <v>79</v>
      </c>
      <c r="H86" t="s">
        <v>80</v>
      </c>
      <c r="I86" t="s">
        <v>81</v>
      </c>
      <c r="J86" t="s">
        <v>118</v>
      </c>
      <c r="K86" t="s">
        <v>930</v>
      </c>
      <c r="L86" t="s">
        <v>83</v>
      </c>
      <c r="M86" t="s">
        <v>37</v>
      </c>
      <c r="Q86" t="s">
        <v>665</v>
      </c>
      <c r="R86" t="s">
        <v>41</v>
      </c>
      <c r="X86">
        <f t="shared" si="2"/>
        <v>2</v>
      </c>
      <c r="Y86" t="str">
        <f t="shared" si="3"/>
        <v>Medium</v>
      </c>
    </row>
    <row r="87" spans="1:25" x14ac:dyDescent="0.2">
      <c r="A87" t="s">
        <v>666</v>
      </c>
      <c r="B87" t="s">
        <v>667</v>
      </c>
      <c r="C87" t="s">
        <v>668</v>
      </c>
      <c r="D87" t="s">
        <v>669</v>
      </c>
      <c r="E87" t="s">
        <v>670</v>
      </c>
      <c r="F87" t="s">
        <v>671</v>
      </c>
      <c r="G87" t="s">
        <v>329</v>
      </c>
      <c r="H87" t="s">
        <v>672</v>
      </c>
      <c r="I87" t="s">
        <v>673</v>
      </c>
      <c r="J87" t="s">
        <v>674</v>
      </c>
      <c r="K87" t="s">
        <v>956</v>
      </c>
      <c r="L87" t="s">
        <v>36</v>
      </c>
      <c r="M87" t="s">
        <v>48</v>
      </c>
      <c r="Q87" t="s">
        <v>675</v>
      </c>
      <c r="R87" t="s">
        <v>41</v>
      </c>
      <c r="X87">
        <f t="shared" si="2"/>
        <v>3</v>
      </c>
      <c r="Y87" t="str">
        <f t="shared" si="3"/>
        <v>Medium</v>
      </c>
    </row>
    <row r="88" spans="1:25" x14ac:dyDescent="0.2">
      <c r="A88" t="s">
        <v>666</v>
      </c>
      <c r="B88" t="s">
        <v>676</v>
      </c>
      <c r="C88" t="s">
        <v>677</v>
      </c>
      <c r="D88" t="s">
        <v>678</v>
      </c>
      <c r="E88" t="s">
        <v>679</v>
      </c>
      <c r="F88" t="s">
        <v>274</v>
      </c>
      <c r="G88" t="s">
        <v>680</v>
      </c>
      <c r="H88" t="s">
        <v>681</v>
      </c>
      <c r="I88" t="s">
        <v>682</v>
      </c>
      <c r="J88" t="s">
        <v>674</v>
      </c>
      <c r="K88" t="s">
        <v>956</v>
      </c>
      <c r="L88" t="s">
        <v>524</v>
      </c>
      <c r="M88" t="s">
        <v>37</v>
      </c>
      <c r="Q88" t="s">
        <v>683</v>
      </c>
      <c r="R88" t="s">
        <v>41</v>
      </c>
      <c r="X88">
        <f t="shared" si="2"/>
        <v>2</v>
      </c>
      <c r="Y88" t="str">
        <f t="shared" si="3"/>
        <v>Medium</v>
      </c>
    </row>
    <row r="89" spans="1:25" x14ac:dyDescent="0.2">
      <c r="A89" t="s">
        <v>666</v>
      </c>
      <c r="B89" t="s">
        <v>684</v>
      </c>
      <c r="C89" t="s">
        <v>685</v>
      </c>
      <c r="D89" t="s">
        <v>686</v>
      </c>
      <c r="E89" t="s">
        <v>687</v>
      </c>
      <c r="F89" t="s">
        <v>688</v>
      </c>
      <c r="G89" t="s">
        <v>251</v>
      </c>
      <c r="H89" t="s">
        <v>689</v>
      </c>
      <c r="I89" t="s">
        <v>276</v>
      </c>
      <c r="J89" t="s">
        <v>690</v>
      </c>
      <c r="K89" t="s">
        <v>957</v>
      </c>
      <c r="L89" t="s">
        <v>119</v>
      </c>
      <c r="M89" t="s">
        <v>37</v>
      </c>
      <c r="Q89" t="s">
        <v>683</v>
      </c>
      <c r="R89" t="s">
        <v>41</v>
      </c>
      <c r="X89">
        <f t="shared" si="2"/>
        <v>2</v>
      </c>
      <c r="Y89" t="str">
        <f t="shared" si="3"/>
        <v>Medium</v>
      </c>
    </row>
    <row r="90" spans="1:25" x14ac:dyDescent="0.2">
      <c r="A90" t="s">
        <v>691</v>
      </c>
      <c r="B90" t="s">
        <v>692</v>
      </c>
      <c r="C90" t="s">
        <v>693</v>
      </c>
      <c r="D90" t="s">
        <v>694</v>
      </c>
      <c r="E90" t="s">
        <v>695</v>
      </c>
      <c r="F90" t="s">
        <v>274</v>
      </c>
      <c r="G90" t="s">
        <v>696</v>
      </c>
      <c r="H90" t="s">
        <v>697</v>
      </c>
      <c r="I90" t="s">
        <v>698</v>
      </c>
      <c r="J90" t="s">
        <v>699</v>
      </c>
      <c r="K90" t="s">
        <v>958</v>
      </c>
      <c r="L90" t="s">
        <v>36</v>
      </c>
      <c r="M90" t="s">
        <v>48</v>
      </c>
      <c r="Q90" t="s">
        <v>700</v>
      </c>
      <c r="R90" t="s">
        <v>41</v>
      </c>
      <c r="X90">
        <f t="shared" si="2"/>
        <v>3</v>
      </c>
      <c r="Y90" t="str">
        <f t="shared" si="3"/>
        <v>Medium</v>
      </c>
    </row>
    <row r="91" spans="1:25" x14ac:dyDescent="0.2">
      <c r="A91" t="s">
        <v>691</v>
      </c>
      <c r="B91" t="s">
        <v>701</v>
      </c>
      <c r="C91" t="s">
        <v>702</v>
      </c>
      <c r="D91" t="s">
        <v>703</v>
      </c>
      <c r="E91" t="s">
        <v>704</v>
      </c>
      <c r="F91" t="s">
        <v>705</v>
      </c>
      <c r="G91" t="s">
        <v>706</v>
      </c>
      <c r="H91" t="s">
        <v>707</v>
      </c>
      <c r="I91" t="s">
        <v>301</v>
      </c>
      <c r="J91" t="s">
        <v>708</v>
      </c>
      <c r="K91" t="s">
        <v>959</v>
      </c>
      <c r="L91" t="s">
        <v>36</v>
      </c>
      <c r="M91" t="s">
        <v>48</v>
      </c>
      <c r="Q91" t="s">
        <v>709</v>
      </c>
      <c r="R91" t="s">
        <v>41</v>
      </c>
      <c r="X91">
        <f t="shared" si="2"/>
        <v>3</v>
      </c>
      <c r="Y91" t="str">
        <f t="shared" si="3"/>
        <v>Medium</v>
      </c>
    </row>
    <row r="92" spans="1:25" x14ac:dyDescent="0.2">
      <c r="A92" t="s">
        <v>691</v>
      </c>
      <c r="B92" t="s">
        <v>710</v>
      </c>
      <c r="C92" t="s">
        <v>711</v>
      </c>
      <c r="D92" t="s">
        <v>712</v>
      </c>
      <c r="E92" t="s">
        <v>713</v>
      </c>
      <c r="F92" t="s">
        <v>714</v>
      </c>
      <c r="G92" t="s">
        <v>79</v>
      </c>
      <c r="H92" t="s">
        <v>90</v>
      </c>
      <c r="I92" t="s">
        <v>81</v>
      </c>
      <c r="J92" t="s">
        <v>715</v>
      </c>
      <c r="K92" t="s">
        <v>960</v>
      </c>
      <c r="L92" t="s">
        <v>83</v>
      </c>
      <c r="M92" t="s">
        <v>48</v>
      </c>
      <c r="Q92" t="s">
        <v>700</v>
      </c>
      <c r="R92" t="s">
        <v>41</v>
      </c>
      <c r="X92">
        <f t="shared" si="2"/>
        <v>3</v>
      </c>
      <c r="Y92" t="str">
        <f t="shared" si="3"/>
        <v>Medium</v>
      </c>
    </row>
    <row r="93" spans="1:25" x14ac:dyDescent="0.2">
      <c r="A93" t="s">
        <v>716</v>
      </c>
      <c r="B93" t="s">
        <v>717</v>
      </c>
      <c r="C93" t="s">
        <v>718</v>
      </c>
      <c r="D93" t="s">
        <v>719</v>
      </c>
      <c r="E93" t="s">
        <v>720</v>
      </c>
      <c r="F93" t="s">
        <v>721</v>
      </c>
      <c r="G93" t="s">
        <v>329</v>
      </c>
      <c r="H93" t="s">
        <v>722</v>
      </c>
      <c r="I93" t="s">
        <v>331</v>
      </c>
      <c r="J93" t="s">
        <v>723</v>
      </c>
      <c r="K93" t="s">
        <v>961</v>
      </c>
      <c r="L93" t="s">
        <v>36</v>
      </c>
      <c r="M93" t="s">
        <v>48</v>
      </c>
      <c r="Q93" t="s">
        <v>724</v>
      </c>
      <c r="R93" t="s">
        <v>41</v>
      </c>
      <c r="X93">
        <f t="shared" si="2"/>
        <v>3</v>
      </c>
      <c r="Y93" t="str">
        <f t="shared" si="3"/>
        <v>Medium</v>
      </c>
    </row>
    <row r="94" spans="1:25" x14ac:dyDescent="0.2">
      <c r="A94" t="s">
        <v>716</v>
      </c>
      <c r="B94" t="s">
        <v>725</v>
      </c>
      <c r="C94" t="s">
        <v>726</v>
      </c>
      <c r="D94" t="s">
        <v>727</v>
      </c>
      <c r="E94" t="s">
        <v>728</v>
      </c>
      <c r="F94" t="s">
        <v>729</v>
      </c>
      <c r="G94" t="s">
        <v>236</v>
      </c>
      <c r="H94" t="s">
        <v>730</v>
      </c>
      <c r="I94" t="s">
        <v>301</v>
      </c>
      <c r="J94" t="s">
        <v>731</v>
      </c>
      <c r="K94" t="s">
        <v>962</v>
      </c>
      <c r="L94" t="s">
        <v>238</v>
      </c>
      <c r="M94" t="s">
        <v>37</v>
      </c>
      <c r="Q94" t="s">
        <v>49</v>
      </c>
      <c r="R94" t="s">
        <v>41</v>
      </c>
      <c r="X94">
        <f t="shared" si="2"/>
        <v>2</v>
      </c>
      <c r="Y94" t="str">
        <f t="shared" si="3"/>
        <v>Medium</v>
      </c>
    </row>
    <row r="95" spans="1:25" x14ac:dyDescent="0.2">
      <c r="A95" t="s">
        <v>716</v>
      </c>
      <c r="B95" t="s">
        <v>732</v>
      </c>
      <c r="C95" t="s">
        <v>733</v>
      </c>
      <c r="D95" t="s">
        <v>734</v>
      </c>
      <c r="E95" t="s">
        <v>735</v>
      </c>
      <c r="F95" t="s">
        <v>736</v>
      </c>
      <c r="G95" t="s">
        <v>329</v>
      </c>
      <c r="H95" t="s">
        <v>619</v>
      </c>
      <c r="I95" t="s">
        <v>301</v>
      </c>
      <c r="J95" t="s">
        <v>723</v>
      </c>
      <c r="K95" t="s">
        <v>961</v>
      </c>
      <c r="L95" t="s">
        <v>36</v>
      </c>
      <c r="M95" t="s">
        <v>48</v>
      </c>
      <c r="Q95" t="s">
        <v>49</v>
      </c>
      <c r="R95" t="s">
        <v>41</v>
      </c>
      <c r="X95">
        <f t="shared" si="2"/>
        <v>3</v>
      </c>
      <c r="Y95" t="str">
        <f t="shared" si="3"/>
        <v>Medium</v>
      </c>
    </row>
    <row r="96" spans="1:25" x14ac:dyDescent="0.2">
      <c r="A96" t="s">
        <v>73</v>
      </c>
      <c r="B96" t="s">
        <v>737</v>
      </c>
      <c r="C96" t="s">
        <v>738</v>
      </c>
      <c r="D96" t="s">
        <v>739</v>
      </c>
      <c r="E96" t="s">
        <v>740</v>
      </c>
      <c r="F96" t="s">
        <v>741</v>
      </c>
      <c r="G96" t="s">
        <v>79</v>
      </c>
      <c r="H96" t="s">
        <v>742</v>
      </c>
      <c r="I96" t="s">
        <v>103</v>
      </c>
      <c r="J96" t="s">
        <v>82</v>
      </c>
      <c r="K96" t="s">
        <v>929</v>
      </c>
      <c r="L96" t="s">
        <v>83</v>
      </c>
      <c r="M96" t="s">
        <v>37</v>
      </c>
      <c r="Q96" t="s">
        <v>91</v>
      </c>
      <c r="R96" t="s">
        <v>41</v>
      </c>
      <c r="X96">
        <f t="shared" si="2"/>
        <v>2</v>
      </c>
      <c r="Y96" t="str">
        <f t="shared" si="3"/>
        <v>Medium</v>
      </c>
    </row>
    <row r="97" spans="1:25" x14ac:dyDescent="0.2">
      <c r="A97" t="s">
        <v>73</v>
      </c>
      <c r="B97" t="s">
        <v>743</v>
      </c>
      <c r="C97" t="s">
        <v>744</v>
      </c>
      <c r="D97" t="s">
        <v>745</v>
      </c>
      <c r="E97" t="s">
        <v>746</v>
      </c>
      <c r="F97" t="s">
        <v>747</v>
      </c>
      <c r="G97" t="s">
        <v>79</v>
      </c>
      <c r="H97" t="s">
        <v>748</v>
      </c>
      <c r="I97" t="s">
        <v>81</v>
      </c>
      <c r="J97" t="s">
        <v>82</v>
      </c>
      <c r="K97" t="s">
        <v>929</v>
      </c>
      <c r="L97" t="s">
        <v>83</v>
      </c>
      <c r="M97" t="s">
        <v>48</v>
      </c>
      <c r="Q97" t="s">
        <v>91</v>
      </c>
      <c r="R97" t="s">
        <v>41</v>
      </c>
      <c r="X97">
        <f t="shared" si="2"/>
        <v>3</v>
      </c>
      <c r="Y97" t="str">
        <f t="shared" si="3"/>
        <v>Medium</v>
      </c>
    </row>
    <row r="98" spans="1:25" x14ac:dyDescent="0.2">
      <c r="A98" t="s">
        <v>128</v>
      </c>
      <c r="B98" t="s">
        <v>749</v>
      </c>
      <c r="C98" t="s">
        <v>750</v>
      </c>
      <c r="D98" t="s">
        <v>751</v>
      </c>
      <c r="E98" t="s">
        <v>752</v>
      </c>
      <c r="F98" t="s">
        <v>753</v>
      </c>
      <c r="G98" t="s">
        <v>134</v>
      </c>
      <c r="H98" t="s">
        <v>754</v>
      </c>
      <c r="I98" t="s">
        <v>154</v>
      </c>
      <c r="J98" t="s">
        <v>652</v>
      </c>
      <c r="K98" t="s">
        <v>955</v>
      </c>
      <c r="L98" t="s">
        <v>119</v>
      </c>
      <c r="M98" t="s">
        <v>37</v>
      </c>
      <c r="Q98" t="s">
        <v>755</v>
      </c>
      <c r="R98" t="s">
        <v>41</v>
      </c>
      <c r="X98">
        <f t="shared" si="2"/>
        <v>2</v>
      </c>
      <c r="Y98" t="str">
        <f t="shared" si="3"/>
        <v>Medium</v>
      </c>
    </row>
    <row r="99" spans="1:25" x14ac:dyDescent="0.2">
      <c r="A99" t="s">
        <v>128</v>
      </c>
      <c r="B99" t="s">
        <v>756</v>
      </c>
      <c r="C99" t="s">
        <v>757</v>
      </c>
      <c r="D99" t="s">
        <v>758</v>
      </c>
      <c r="E99" t="s">
        <v>759</v>
      </c>
      <c r="F99" t="s">
        <v>760</v>
      </c>
      <c r="G99" t="s">
        <v>134</v>
      </c>
      <c r="H99" t="s">
        <v>153</v>
      </c>
      <c r="I99" t="s">
        <v>154</v>
      </c>
      <c r="J99" t="s">
        <v>137</v>
      </c>
      <c r="K99" t="s">
        <v>931</v>
      </c>
      <c r="L99" t="s">
        <v>162</v>
      </c>
      <c r="M99" t="s">
        <v>48</v>
      </c>
      <c r="Q99" t="s">
        <v>49</v>
      </c>
      <c r="R99" t="s">
        <v>41</v>
      </c>
      <c r="X99">
        <f t="shared" si="2"/>
        <v>3</v>
      </c>
      <c r="Y99" t="str">
        <f t="shared" si="3"/>
        <v>Medium</v>
      </c>
    </row>
    <row r="100" spans="1:25" x14ac:dyDescent="0.2">
      <c r="A100" t="s">
        <v>230</v>
      </c>
      <c r="B100" t="s">
        <v>761</v>
      </c>
      <c r="C100" t="s">
        <v>762</v>
      </c>
      <c r="D100" t="s">
        <v>763</v>
      </c>
      <c r="E100" t="s">
        <v>764</v>
      </c>
      <c r="F100" t="s">
        <v>765</v>
      </c>
      <c r="G100" t="s">
        <v>211</v>
      </c>
      <c r="H100" t="s">
        <v>766</v>
      </c>
      <c r="I100" t="s">
        <v>204</v>
      </c>
      <c r="J100" t="s">
        <v>188</v>
      </c>
      <c r="K100" t="s">
        <v>933</v>
      </c>
      <c r="L100" t="s">
        <v>238</v>
      </c>
      <c r="M100" t="s">
        <v>48</v>
      </c>
      <c r="Q100" t="s">
        <v>49</v>
      </c>
      <c r="R100" t="s">
        <v>41</v>
      </c>
      <c r="X100">
        <f t="shared" si="2"/>
        <v>3</v>
      </c>
      <c r="Y100" t="str">
        <f t="shared" si="3"/>
        <v>Medium</v>
      </c>
    </row>
    <row r="101" spans="1:25" x14ac:dyDescent="0.2">
      <c r="A101" t="s">
        <v>502</v>
      </c>
      <c r="B101" t="s">
        <v>767</v>
      </c>
      <c r="C101" t="s">
        <v>768</v>
      </c>
      <c r="D101" t="s">
        <v>769</v>
      </c>
      <c r="E101" t="s">
        <v>770</v>
      </c>
      <c r="F101" t="s">
        <v>771</v>
      </c>
      <c r="G101" t="s">
        <v>385</v>
      </c>
      <c r="H101" t="s">
        <v>772</v>
      </c>
      <c r="I101" t="s">
        <v>396</v>
      </c>
      <c r="J101" t="s">
        <v>516</v>
      </c>
      <c r="K101" t="s">
        <v>947</v>
      </c>
      <c r="L101" t="s">
        <v>524</v>
      </c>
      <c r="M101" t="s">
        <v>37</v>
      </c>
      <c r="Q101" t="s">
        <v>509</v>
      </c>
      <c r="R101" t="s">
        <v>41</v>
      </c>
      <c r="X101">
        <f t="shared" si="2"/>
        <v>2</v>
      </c>
      <c r="Y101" t="str">
        <f t="shared" si="3"/>
        <v>Medium</v>
      </c>
    </row>
    <row r="102" spans="1:25" x14ac:dyDescent="0.2">
      <c r="A102" t="s">
        <v>269</v>
      </c>
      <c r="B102" t="s">
        <v>773</v>
      </c>
      <c r="C102" t="s">
        <v>774</v>
      </c>
      <c r="D102" t="s">
        <v>775</v>
      </c>
      <c r="E102" t="s">
        <v>776</v>
      </c>
      <c r="F102" t="s">
        <v>777</v>
      </c>
      <c r="G102" t="s">
        <v>251</v>
      </c>
      <c r="H102" t="s">
        <v>778</v>
      </c>
      <c r="I102" t="s">
        <v>276</v>
      </c>
      <c r="J102" t="s">
        <v>188</v>
      </c>
      <c r="K102" t="s">
        <v>933</v>
      </c>
      <c r="L102" t="s">
        <v>119</v>
      </c>
      <c r="M102" t="s">
        <v>48</v>
      </c>
      <c r="Q102" t="s">
        <v>49</v>
      </c>
      <c r="R102" t="s">
        <v>41</v>
      </c>
      <c r="X102">
        <f t="shared" si="2"/>
        <v>3</v>
      </c>
      <c r="Y102" t="str">
        <f t="shared" si="3"/>
        <v>Medium</v>
      </c>
    </row>
    <row r="103" spans="1:25" x14ac:dyDescent="0.2">
      <c r="A103" t="s">
        <v>303</v>
      </c>
      <c r="B103" t="s">
        <v>779</v>
      </c>
      <c r="C103" t="s">
        <v>780</v>
      </c>
      <c r="D103" t="s">
        <v>781</v>
      </c>
      <c r="E103" t="s">
        <v>114</v>
      </c>
      <c r="F103" t="s">
        <v>782</v>
      </c>
      <c r="G103" t="s">
        <v>329</v>
      </c>
      <c r="H103" t="s">
        <v>783</v>
      </c>
      <c r="I103" t="s">
        <v>784</v>
      </c>
      <c r="J103" t="s">
        <v>118</v>
      </c>
      <c r="K103" t="s">
        <v>930</v>
      </c>
      <c r="L103" t="s">
        <v>36</v>
      </c>
      <c r="M103" t="s">
        <v>48</v>
      </c>
      <c r="Q103" t="s">
        <v>724</v>
      </c>
      <c r="R103" t="s">
        <v>41</v>
      </c>
      <c r="X103">
        <f t="shared" si="2"/>
        <v>3</v>
      </c>
      <c r="Y103" t="str">
        <f t="shared" si="3"/>
        <v>Medium</v>
      </c>
    </row>
    <row r="104" spans="1:25" x14ac:dyDescent="0.2">
      <c r="A104" t="s">
        <v>303</v>
      </c>
      <c r="B104" t="s">
        <v>785</v>
      </c>
      <c r="C104" t="s">
        <v>786</v>
      </c>
      <c r="D104" t="s">
        <v>787</v>
      </c>
      <c r="E104" t="s">
        <v>788</v>
      </c>
      <c r="F104" t="s">
        <v>789</v>
      </c>
      <c r="G104" t="s">
        <v>577</v>
      </c>
      <c r="H104" t="s">
        <v>681</v>
      </c>
      <c r="I104" t="s">
        <v>790</v>
      </c>
      <c r="J104" t="s">
        <v>455</v>
      </c>
      <c r="K104" t="s">
        <v>933</v>
      </c>
      <c r="L104" t="s">
        <v>36</v>
      </c>
      <c r="M104" t="s">
        <v>37</v>
      </c>
      <c r="Q104" t="s">
        <v>311</v>
      </c>
      <c r="R104" t="s">
        <v>41</v>
      </c>
      <c r="X104">
        <f t="shared" si="2"/>
        <v>2</v>
      </c>
      <c r="Y104" t="str">
        <f t="shared" si="3"/>
        <v>Medium</v>
      </c>
    </row>
    <row r="105" spans="1:25" x14ac:dyDescent="0.2">
      <c r="A105" t="s">
        <v>598</v>
      </c>
      <c r="B105" t="s">
        <v>791</v>
      </c>
      <c r="C105" t="s">
        <v>792</v>
      </c>
      <c r="D105" t="s">
        <v>793</v>
      </c>
      <c r="E105" t="s">
        <v>794</v>
      </c>
      <c r="F105" t="s">
        <v>795</v>
      </c>
      <c r="G105" t="s">
        <v>211</v>
      </c>
      <c r="H105" t="s">
        <v>796</v>
      </c>
      <c r="I105" t="s">
        <v>797</v>
      </c>
      <c r="J105" t="s">
        <v>516</v>
      </c>
      <c r="K105" t="s">
        <v>947</v>
      </c>
      <c r="L105" t="s">
        <v>524</v>
      </c>
      <c r="M105" t="s">
        <v>48</v>
      </c>
      <c r="Q105" t="s">
        <v>572</v>
      </c>
      <c r="R105" t="s">
        <v>41</v>
      </c>
      <c r="X105">
        <f t="shared" si="2"/>
        <v>3</v>
      </c>
      <c r="Y105" t="str">
        <f t="shared" si="3"/>
        <v>Medium</v>
      </c>
    </row>
    <row r="106" spans="1:25" x14ac:dyDescent="0.2">
      <c r="A106" t="s">
        <v>716</v>
      </c>
      <c r="B106" t="s">
        <v>798</v>
      </c>
      <c r="C106" t="s">
        <v>799</v>
      </c>
      <c r="D106" t="s">
        <v>800</v>
      </c>
      <c r="E106" t="s">
        <v>114</v>
      </c>
      <c r="F106" t="s">
        <v>801</v>
      </c>
      <c r="G106" t="s">
        <v>329</v>
      </c>
      <c r="H106" t="s">
        <v>802</v>
      </c>
      <c r="I106" t="s">
        <v>331</v>
      </c>
      <c r="J106" t="s">
        <v>731</v>
      </c>
      <c r="K106" t="s">
        <v>962</v>
      </c>
      <c r="L106" t="s">
        <v>36</v>
      </c>
      <c r="M106" t="s">
        <v>48</v>
      </c>
      <c r="Q106" t="s">
        <v>803</v>
      </c>
      <c r="R106" t="s">
        <v>41</v>
      </c>
      <c r="X106">
        <f t="shared" si="2"/>
        <v>3</v>
      </c>
      <c r="Y106" t="str">
        <f t="shared" si="3"/>
        <v>Medium</v>
      </c>
    </row>
    <row r="107" spans="1:25" x14ac:dyDescent="0.2">
      <c r="A107" t="s">
        <v>666</v>
      </c>
      <c r="B107" t="s">
        <v>804</v>
      </c>
      <c r="C107" t="s">
        <v>805</v>
      </c>
      <c r="D107" t="s">
        <v>806</v>
      </c>
      <c r="E107" t="s">
        <v>807</v>
      </c>
      <c r="F107" t="s">
        <v>808</v>
      </c>
      <c r="G107" t="s">
        <v>32</v>
      </c>
      <c r="H107" t="s">
        <v>809</v>
      </c>
      <c r="I107" t="s">
        <v>57</v>
      </c>
      <c r="J107" t="s">
        <v>810</v>
      </c>
      <c r="K107" t="s">
        <v>963</v>
      </c>
      <c r="L107" t="s">
        <v>36</v>
      </c>
      <c r="M107" t="s">
        <v>37</v>
      </c>
      <c r="Q107" t="s">
        <v>683</v>
      </c>
      <c r="R107" t="s">
        <v>41</v>
      </c>
      <c r="X107">
        <f t="shared" si="2"/>
        <v>2</v>
      </c>
      <c r="Y107" t="str">
        <f t="shared" si="3"/>
        <v>Medium</v>
      </c>
    </row>
    <row r="108" spans="1:25" x14ac:dyDescent="0.2">
      <c r="A108" t="s">
        <v>691</v>
      </c>
      <c r="B108" t="s">
        <v>811</v>
      </c>
      <c r="C108" t="s">
        <v>812</v>
      </c>
      <c r="D108" t="s">
        <v>813</v>
      </c>
      <c r="E108" t="s">
        <v>624</v>
      </c>
      <c r="F108" t="s">
        <v>814</v>
      </c>
      <c r="G108" t="s">
        <v>79</v>
      </c>
      <c r="H108" t="s">
        <v>90</v>
      </c>
      <c r="I108" t="s">
        <v>81</v>
      </c>
      <c r="J108" t="s">
        <v>699</v>
      </c>
      <c r="K108" t="s">
        <v>958</v>
      </c>
      <c r="L108" t="s">
        <v>83</v>
      </c>
      <c r="M108" t="s">
        <v>48</v>
      </c>
      <c r="Q108" t="s">
        <v>700</v>
      </c>
      <c r="R108" t="s">
        <v>41</v>
      </c>
      <c r="X108">
        <f t="shared" si="2"/>
        <v>3</v>
      </c>
      <c r="Y108" t="str">
        <f t="shared" si="3"/>
        <v>Medium</v>
      </c>
    </row>
    <row r="109" spans="1:25" x14ac:dyDescent="0.2">
      <c r="A109" t="s">
        <v>580</v>
      </c>
      <c r="B109" t="s">
        <v>815</v>
      </c>
      <c r="C109" t="s">
        <v>816</v>
      </c>
      <c r="D109" t="s">
        <v>817</v>
      </c>
      <c r="E109" t="s">
        <v>818</v>
      </c>
      <c r="F109" t="s">
        <v>819</v>
      </c>
      <c r="G109" t="s">
        <v>596</v>
      </c>
      <c r="H109" t="s">
        <v>820</v>
      </c>
      <c r="I109" t="s">
        <v>588</v>
      </c>
      <c r="J109" t="s">
        <v>589</v>
      </c>
      <c r="K109" t="s">
        <v>952</v>
      </c>
      <c r="L109" t="s">
        <v>302</v>
      </c>
      <c r="M109" t="s">
        <v>229</v>
      </c>
      <c r="Q109" t="s">
        <v>49</v>
      </c>
      <c r="R109" t="s">
        <v>41</v>
      </c>
      <c r="X109">
        <f t="shared" si="2"/>
        <v>1</v>
      </c>
      <c r="Y109" t="str">
        <f t="shared" si="3"/>
        <v>Low</v>
      </c>
    </row>
    <row r="110" spans="1:25" x14ac:dyDescent="0.2">
      <c r="A110" t="s">
        <v>475</v>
      </c>
      <c r="B110" t="s">
        <v>821</v>
      </c>
      <c r="C110" t="s">
        <v>822</v>
      </c>
      <c r="D110" t="s">
        <v>823</v>
      </c>
      <c r="E110" t="s">
        <v>824</v>
      </c>
      <c r="F110" t="s">
        <v>825</v>
      </c>
      <c r="G110" t="s">
        <v>826</v>
      </c>
      <c r="H110" t="s">
        <v>827</v>
      </c>
      <c r="I110" t="s">
        <v>483</v>
      </c>
      <c r="J110" t="s">
        <v>222</v>
      </c>
      <c r="K110" t="s">
        <v>935</v>
      </c>
      <c r="L110" t="s">
        <v>302</v>
      </c>
      <c r="M110" t="s">
        <v>37</v>
      </c>
      <c r="Q110" t="s">
        <v>484</v>
      </c>
      <c r="R110" t="s">
        <v>41</v>
      </c>
      <c r="X110">
        <f t="shared" si="2"/>
        <v>2</v>
      </c>
      <c r="Y110" t="str">
        <f t="shared" si="3"/>
        <v>Medium</v>
      </c>
    </row>
    <row r="111" spans="1:25" x14ac:dyDescent="0.2">
      <c r="A111" t="s">
        <v>627</v>
      </c>
      <c r="B111" t="s">
        <v>828</v>
      </c>
      <c r="C111" t="s">
        <v>829</v>
      </c>
      <c r="D111" t="s">
        <v>830</v>
      </c>
      <c r="E111" t="s">
        <v>831</v>
      </c>
      <c r="F111" t="s">
        <v>832</v>
      </c>
      <c r="G111" t="s">
        <v>126</v>
      </c>
      <c r="H111" t="s">
        <v>127</v>
      </c>
      <c r="I111" t="s">
        <v>81</v>
      </c>
      <c r="J111" t="s">
        <v>82</v>
      </c>
      <c r="K111" t="s">
        <v>929</v>
      </c>
      <c r="L111" t="s">
        <v>36</v>
      </c>
      <c r="M111" t="s">
        <v>48</v>
      </c>
      <c r="Q111" t="s">
        <v>196</v>
      </c>
      <c r="R111" t="s">
        <v>41</v>
      </c>
      <c r="X111">
        <f t="shared" si="2"/>
        <v>3</v>
      </c>
      <c r="Y111" t="str">
        <f t="shared" si="3"/>
        <v>Medium</v>
      </c>
    </row>
    <row r="112" spans="1:25" x14ac:dyDescent="0.2">
      <c r="A112" t="s">
        <v>691</v>
      </c>
      <c r="B112" t="s">
        <v>833</v>
      </c>
      <c r="C112" t="s">
        <v>834</v>
      </c>
      <c r="D112" t="s">
        <v>835</v>
      </c>
      <c r="E112" t="s">
        <v>836</v>
      </c>
      <c r="F112" t="s">
        <v>837</v>
      </c>
      <c r="G112" t="s">
        <v>329</v>
      </c>
      <c r="H112" t="s">
        <v>838</v>
      </c>
      <c r="I112" t="s">
        <v>839</v>
      </c>
      <c r="J112" t="s">
        <v>699</v>
      </c>
      <c r="K112" t="s">
        <v>958</v>
      </c>
      <c r="L112" t="s">
        <v>36</v>
      </c>
      <c r="M112" t="s">
        <v>48</v>
      </c>
      <c r="Q112" t="s">
        <v>700</v>
      </c>
      <c r="R112" t="s">
        <v>41</v>
      </c>
      <c r="X112">
        <f t="shared" si="2"/>
        <v>3</v>
      </c>
      <c r="Y112" t="str">
        <f t="shared" si="3"/>
        <v>Medium</v>
      </c>
    </row>
    <row r="113" spans="1:25" x14ac:dyDescent="0.2">
      <c r="A113" t="s">
        <v>691</v>
      </c>
      <c r="B113" t="s">
        <v>840</v>
      </c>
      <c r="C113" t="s">
        <v>841</v>
      </c>
      <c r="D113" t="s">
        <v>842</v>
      </c>
      <c r="E113" t="s">
        <v>843</v>
      </c>
      <c r="F113" t="s">
        <v>844</v>
      </c>
      <c r="G113" t="s">
        <v>79</v>
      </c>
      <c r="H113" t="s">
        <v>90</v>
      </c>
      <c r="I113" t="s">
        <v>81</v>
      </c>
      <c r="J113" t="s">
        <v>699</v>
      </c>
      <c r="K113" t="s">
        <v>958</v>
      </c>
      <c r="L113" t="s">
        <v>83</v>
      </c>
      <c r="M113" t="s">
        <v>48</v>
      </c>
      <c r="Q113" t="s">
        <v>700</v>
      </c>
      <c r="R113" t="s">
        <v>41</v>
      </c>
      <c r="X113">
        <f t="shared" si="2"/>
        <v>3</v>
      </c>
      <c r="Y113" t="str">
        <f t="shared" si="3"/>
        <v>Medium</v>
      </c>
    </row>
    <row r="114" spans="1:25" x14ac:dyDescent="0.2">
      <c r="A114" t="s">
        <v>691</v>
      </c>
      <c r="B114" t="s">
        <v>845</v>
      </c>
      <c r="C114" t="s">
        <v>846</v>
      </c>
      <c r="D114" t="s">
        <v>847</v>
      </c>
      <c r="E114" t="s">
        <v>848</v>
      </c>
      <c r="F114" t="s">
        <v>849</v>
      </c>
      <c r="G114" t="s">
        <v>79</v>
      </c>
      <c r="H114" t="s">
        <v>742</v>
      </c>
      <c r="I114" t="s">
        <v>81</v>
      </c>
      <c r="J114" t="s">
        <v>715</v>
      </c>
      <c r="K114" t="s">
        <v>960</v>
      </c>
      <c r="L114" t="s">
        <v>83</v>
      </c>
      <c r="M114" t="s">
        <v>48</v>
      </c>
      <c r="Q114" t="s">
        <v>700</v>
      </c>
      <c r="R114" t="s">
        <v>41</v>
      </c>
      <c r="X114">
        <f t="shared" si="2"/>
        <v>3</v>
      </c>
      <c r="Y114" t="str">
        <f t="shared" si="3"/>
        <v>Medium</v>
      </c>
    </row>
    <row r="115" spans="1:25" x14ac:dyDescent="0.2">
      <c r="A115" t="s">
        <v>691</v>
      </c>
      <c r="B115" t="s">
        <v>850</v>
      </c>
      <c r="C115" t="s">
        <v>851</v>
      </c>
      <c r="D115" t="s">
        <v>852</v>
      </c>
      <c r="E115" t="s">
        <v>853</v>
      </c>
      <c r="F115" t="s">
        <v>854</v>
      </c>
      <c r="G115" t="s">
        <v>344</v>
      </c>
      <c r="H115" t="s">
        <v>462</v>
      </c>
      <c r="I115" t="s">
        <v>463</v>
      </c>
      <c r="J115" t="s">
        <v>855</v>
      </c>
      <c r="K115" t="s">
        <v>964</v>
      </c>
      <c r="L115" t="s">
        <v>238</v>
      </c>
      <c r="M115" t="s">
        <v>37</v>
      </c>
      <c r="Q115" t="s">
        <v>700</v>
      </c>
      <c r="R115" t="s">
        <v>41</v>
      </c>
      <c r="X115">
        <f t="shared" si="2"/>
        <v>2</v>
      </c>
      <c r="Y115" t="str">
        <f t="shared" si="3"/>
        <v>Medium</v>
      </c>
    </row>
    <row r="116" spans="1:25" x14ac:dyDescent="0.2">
      <c r="A116" t="s">
        <v>691</v>
      </c>
      <c r="B116" t="s">
        <v>856</v>
      </c>
      <c r="C116" t="s">
        <v>857</v>
      </c>
      <c r="D116" t="s">
        <v>858</v>
      </c>
      <c r="E116" t="s">
        <v>859</v>
      </c>
      <c r="F116" t="s">
        <v>860</v>
      </c>
      <c r="G116" t="s">
        <v>329</v>
      </c>
      <c r="H116" t="s">
        <v>861</v>
      </c>
      <c r="I116" t="s">
        <v>301</v>
      </c>
      <c r="J116" t="s">
        <v>699</v>
      </c>
      <c r="K116" t="s">
        <v>958</v>
      </c>
      <c r="L116" t="s">
        <v>162</v>
      </c>
      <c r="M116" t="s">
        <v>37</v>
      </c>
      <c r="Q116" t="s">
        <v>700</v>
      </c>
      <c r="R116" t="s">
        <v>41</v>
      </c>
      <c r="X116">
        <f t="shared" si="2"/>
        <v>2</v>
      </c>
      <c r="Y116" t="str">
        <f t="shared" si="3"/>
        <v>Medium</v>
      </c>
    </row>
    <row r="117" spans="1:25" x14ac:dyDescent="0.2">
      <c r="A117" t="s">
        <v>517</v>
      </c>
      <c r="B117" t="s">
        <v>862</v>
      </c>
      <c r="C117" t="s">
        <v>863</v>
      </c>
      <c r="D117" t="s">
        <v>864</v>
      </c>
      <c r="E117" t="s">
        <v>865</v>
      </c>
      <c r="F117" t="s">
        <v>866</v>
      </c>
      <c r="G117" t="s">
        <v>211</v>
      </c>
      <c r="H117" t="s">
        <v>522</v>
      </c>
      <c r="I117" t="s">
        <v>523</v>
      </c>
      <c r="J117" t="s">
        <v>516</v>
      </c>
      <c r="K117" t="s">
        <v>947</v>
      </c>
      <c r="L117" t="s">
        <v>524</v>
      </c>
      <c r="M117" t="s">
        <v>48</v>
      </c>
      <c r="Q117" t="s">
        <v>525</v>
      </c>
      <c r="R117" t="s">
        <v>41</v>
      </c>
      <c r="X117">
        <f t="shared" si="2"/>
        <v>3</v>
      </c>
      <c r="Y117" t="str">
        <f t="shared" si="3"/>
        <v>Medium</v>
      </c>
    </row>
    <row r="118" spans="1:25" x14ac:dyDescent="0.2">
      <c r="A118" t="s">
        <v>517</v>
      </c>
      <c r="B118" t="s">
        <v>867</v>
      </c>
      <c r="C118" t="s">
        <v>868</v>
      </c>
      <c r="D118" t="s">
        <v>869</v>
      </c>
      <c r="E118" t="s">
        <v>870</v>
      </c>
      <c r="F118" t="s">
        <v>871</v>
      </c>
      <c r="G118" t="s">
        <v>236</v>
      </c>
      <c r="H118" t="s">
        <v>212</v>
      </c>
      <c r="I118" t="s">
        <v>171</v>
      </c>
      <c r="J118" t="s">
        <v>427</v>
      </c>
      <c r="K118" t="s">
        <v>943</v>
      </c>
      <c r="L118" t="s">
        <v>465</v>
      </c>
      <c r="M118" t="s">
        <v>37</v>
      </c>
      <c r="Q118" t="s">
        <v>872</v>
      </c>
      <c r="R118" t="s">
        <v>41</v>
      </c>
      <c r="X118">
        <f t="shared" si="2"/>
        <v>2</v>
      </c>
      <c r="Y118" t="str">
        <f t="shared" si="3"/>
        <v>Medium</v>
      </c>
    </row>
    <row r="119" spans="1:25" x14ac:dyDescent="0.2">
      <c r="A119" t="s">
        <v>517</v>
      </c>
      <c r="B119" t="s">
        <v>873</v>
      </c>
      <c r="C119" t="s">
        <v>874</v>
      </c>
      <c r="D119" t="s">
        <v>875</v>
      </c>
      <c r="E119" t="s">
        <v>876</v>
      </c>
      <c r="F119" t="s">
        <v>877</v>
      </c>
      <c r="G119" t="s">
        <v>134</v>
      </c>
      <c r="H119" t="s">
        <v>878</v>
      </c>
      <c r="I119" t="s">
        <v>879</v>
      </c>
      <c r="J119" t="s">
        <v>708</v>
      </c>
      <c r="K119" t="s">
        <v>959</v>
      </c>
      <c r="L119" t="s">
        <v>36</v>
      </c>
      <c r="M119" t="s">
        <v>48</v>
      </c>
      <c r="Q119" t="s">
        <v>700</v>
      </c>
      <c r="R119" t="s">
        <v>41</v>
      </c>
      <c r="X119">
        <f t="shared" si="2"/>
        <v>3</v>
      </c>
      <c r="Y119" t="str">
        <f t="shared" si="3"/>
        <v>Medium</v>
      </c>
    </row>
    <row r="120" spans="1:25" x14ac:dyDescent="0.2">
      <c r="A120" t="s">
        <v>691</v>
      </c>
      <c r="B120" t="s">
        <v>880</v>
      </c>
      <c r="C120" t="s">
        <v>881</v>
      </c>
      <c r="D120" t="s">
        <v>882</v>
      </c>
      <c r="E120" t="s">
        <v>883</v>
      </c>
      <c r="F120" t="s">
        <v>884</v>
      </c>
      <c r="G120" t="s">
        <v>251</v>
      </c>
      <c r="H120" t="s">
        <v>885</v>
      </c>
      <c r="I120" t="s">
        <v>204</v>
      </c>
      <c r="J120" t="s">
        <v>699</v>
      </c>
      <c r="K120" t="s">
        <v>958</v>
      </c>
      <c r="L120" t="s">
        <v>238</v>
      </c>
      <c r="M120" t="s">
        <v>37</v>
      </c>
      <c r="Q120" t="s">
        <v>700</v>
      </c>
      <c r="R120" t="s">
        <v>41</v>
      </c>
      <c r="X120">
        <f t="shared" si="2"/>
        <v>2</v>
      </c>
      <c r="Y120" t="str">
        <f t="shared" si="3"/>
        <v>Medium</v>
      </c>
    </row>
    <row r="121" spans="1:25" x14ac:dyDescent="0.2">
      <c r="A121" t="s">
        <v>691</v>
      </c>
      <c r="B121" t="s">
        <v>886</v>
      </c>
      <c r="C121" t="s">
        <v>887</v>
      </c>
      <c r="D121" t="s">
        <v>888</v>
      </c>
      <c r="E121" t="s">
        <v>889</v>
      </c>
      <c r="F121" t="s">
        <v>890</v>
      </c>
      <c r="G121" t="s">
        <v>79</v>
      </c>
      <c r="H121" t="s">
        <v>90</v>
      </c>
      <c r="I121" t="s">
        <v>81</v>
      </c>
      <c r="J121" t="s">
        <v>891</v>
      </c>
      <c r="K121" t="s">
        <v>965</v>
      </c>
      <c r="L121" t="s">
        <v>83</v>
      </c>
      <c r="M121" t="s">
        <v>48</v>
      </c>
      <c r="Q121" t="s">
        <v>892</v>
      </c>
      <c r="R121" t="s">
        <v>41</v>
      </c>
      <c r="X121">
        <f t="shared" si="2"/>
        <v>3</v>
      </c>
      <c r="Y121" t="str">
        <f t="shared" si="3"/>
        <v>Medium</v>
      </c>
    </row>
  </sheetData>
  <autoFilter ref="A1:AA121" xr:uid="{00000000-0001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E080C71-0FD9-BA4D-B4AA-3020425D5984}">
          <x14:formula1>
            <xm:f>Ref_Priority!$A$2:$A$4</xm:f>
          </x14:formula1>
          <xm:sqref>M2:M121</xm:sqref>
        </x14:dataValidation>
        <x14:dataValidation type="list" allowBlank="1" showInputMessage="1" showErrorMessage="1" xr:uid="{5653070E-AE08-DB48-BB2D-0C23E86A7FA7}">
          <x14:formula1>
            <xm:f>Ref_Applicable!$A$2:$A$3</xm:f>
          </x14:formula1>
          <xm:sqref>N2:N121</xm:sqref>
        </x14:dataValidation>
        <x14:dataValidation type="list" allowBlank="1" showInputMessage="1" showErrorMessage="1" xr:uid="{1FA9815B-CFD0-5F46-AD77-A894F080F0D0}">
          <x14:formula1>
            <xm:f>Ref_Status!$A$2:$A$7</xm:f>
          </x14:formula1>
          <xm:sqref>O2:O121</xm:sqref>
        </x14:dataValidation>
        <x14:dataValidation type="list" allowBlank="1" showInputMessage="1" showErrorMessage="1" xr:uid="{8517749C-AADA-0949-B0A3-3E22C4ED88AF}">
          <x14:formula1>
            <xm:f>Ref_YesNo!$A$2:$A$3</xm:f>
          </x14:formula1>
          <xm:sqref>P2:P121</xm:sqref>
        </x14:dataValidation>
        <x14:dataValidation type="list" allowBlank="1" showInputMessage="1" showErrorMessage="1" xr:uid="{5D0EF64D-492B-FC4F-BC22-2F6B4FBFD5EF}">
          <x14:formula1>
            <xm:f>Ref_UseCases!$A$2:$A$19</xm:f>
          </x14:formula1>
          <xm:sqref>Q2:Q121</xm:sqref>
        </x14:dataValidation>
        <x14:dataValidation type="list" allowBlank="1" showInputMessage="1" showErrorMessage="1" xr:uid="{FCAD5BF3-8604-3C4F-8A6D-F0C97A6374FB}">
          <x14:formula1>
            <xm:f>Ref_Approval!$A$2:$A$4</xm:f>
          </x14:formula1>
          <xm:sqref>R2:R121</xm:sqref>
        </x14:dataValidation>
        <x14:dataValidation type="list" allowBlank="1" showInputMessage="1" showErrorMessage="1" xr:uid="{4F5B599D-2112-874D-A8A2-96800A28ADD0}">
          <x14:formula1>
            <xm:f>Ref_Frequency!$G$2:$G$9</xm:f>
          </x14:formula1>
          <xm:sqref>L2:L121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06AB-7CBF-D94B-A9E6-B8BCBCEBE661}">
  <dimension ref="A1:F42"/>
  <sheetViews>
    <sheetView zoomScale="170" zoomScaleNormal="170" workbookViewId="0">
      <selection activeCell="B5" sqref="B5"/>
    </sheetView>
  </sheetViews>
  <sheetFormatPr baseColWidth="10" defaultRowHeight="15" x14ac:dyDescent="0.2"/>
  <cols>
    <col min="1" max="1" width="15.1640625" bestFit="1" customWidth="1"/>
    <col min="2" max="2" width="15.1640625" customWidth="1"/>
    <col min="3" max="3" width="31.33203125" bestFit="1" customWidth="1"/>
    <col min="4" max="4" width="51.33203125" bestFit="1" customWidth="1"/>
    <col min="5" max="5" width="128.83203125" bestFit="1" customWidth="1"/>
    <col min="6" max="6" width="123" bestFit="1" customWidth="1"/>
  </cols>
  <sheetData>
    <row r="1" spans="1:6" x14ac:dyDescent="0.2">
      <c r="A1" s="27" t="s">
        <v>1154</v>
      </c>
      <c r="B1" s="27" t="s">
        <v>0</v>
      </c>
      <c r="C1" s="28" t="s">
        <v>1</v>
      </c>
      <c r="D1" s="28" t="s">
        <v>2</v>
      </c>
      <c r="E1" s="28" t="s">
        <v>1070</v>
      </c>
      <c r="F1" s="28" t="s">
        <v>1071</v>
      </c>
    </row>
    <row r="2" spans="1:6" x14ac:dyDescent="0.2">
      <c r="A2" t="s">
        <v>26</v>
      </c>
      <c r="B2" t="s">
        <v>27</v>
      </c>
      <c r="C2" t="s">
        <v>28</v>
      </c>
      <c r="D2" t="s">
        <v>29</v>
      </c>
      <c r="E2" t="s">
        <v>1072</v>
      </c>
      <c r="F2" t="s">
        <v>1073</v>
      </c>
    </row>
    <row r="3" spans="1:6" x14ac:dyDescent="0.2">
      <c r="A3" t="s">
        <v>26</v>
      </c>
      <c r="B3" t="s">
        <v>42</v>
      </c>
      <c r="C3" t="s">
        <v>43</v>
      </c>
      <c r="D3" t="s">
        <v>44</v>
      </c>
      <c r="E3" t="s">
        <v>1074</v>
      </c>
      <c r="F3" t="s">
        <v>1075</v>
      </c>
    </row>
    <row r="4" spans="1:6" x14ac:dyDescent="0.2">
      <c r="A4" t="s">
        <v>26</v>
      </c>
      <c r="B4" t="s">
        <v>50</v>
      </c>
      <c r="C4" t="s">
        <v>51</v>
      </c>
      <c r="D4" t="s">
        <v>52</v>
      </c>
      <c r="E4" t="s">
        <v>1076</v>
      </c>
      <c r="F4" t="s">
        <v>1077</v>
      </c>
    </row>
    <row r="5" spans="1:6" x14ac:dyDescent="0.2">
      <c r="A5" t="s">
        <v>26</v>
      </c>
      <c r="B5" t="s">
        <v>59</v>
      </c>
      <c r="C5" t="s">
        <v>60</v>
      </c>
      <c r="D5" t="s">
        <v>61</v>
      </c>
      <c r="E5" t="s">
        <v>1078</v>
      </c>
      <c r="F5" t="s">
        <v>1079</v>
      </c>
    </row>
    <row r="6" spans="1:6" x14ac:dyDescent="0.2">
      <c r="A6" t="s">
        <v>26</v>
      </c>
      <c r="B6" t="s">
        <v>67</v>
      </c>
      <c r="C6" t="s">
        <v>68</v>
      </c>
      <c r="D6" t="s">
        <v>69</v>
      </c>
      <c r="E6" t="s">
        <v>1080</v>
      </c>
      <c r="F6" t="s">
        <v>1081</v>
      </c>
    </row>
    <row r="7" spans="1:6" x14ac:dyDescent="0.2">
      <c r="A7" t="s">
        <v>73</v>
      </c>
      <c r="B7" t="s">
        <v>74</v>
      </c>
      <c r="C7" t="s">
        <v>75</v>
      </c>
      <c r="D7" t="s">
        <v>76</v>
      </c>
      <c r="E7" t="s">
        <v>1082</v>
      </c>
      <c r="F7" t="s">
        <v>1083</v>
      </c>
    </row>
    <row r="8" spans="1:6" x14ac:dyDescent="0.2">
      <c r="A8" t="s">
        <v>73</v>
      </c>
      <c r="B8" t="s">
        <v>85</v>
      </c>
      <c r="C8" t="s">
        <v>86</v>
      </c>
      <c r="D8" t="s">
        <v>87</v>
      </c>
      <c r="E8" t="s">
        <v>1084</v>
      </c>
      <c r="F8" t="s">
        <v>1085</v>
      </c>
    </row>
    <row r="9" spans="1:6" x14ac:dyDescent="0.2">
      <c r="A9" t="s">
        <v>73</v>
      </c>
      <c r="B9" t="s">
        <v>92</v>
      </c>
      <c r="C9" t="s">
        <v>93</v>
      </c>
      <c r="D9" t="s">
        <v>94</v>
      </c>
      <c r="E9" t="s">
        <v>1086</v>
      </c>
      <c r="F9" t="s">
        <v>1087</v>
      </c>
    </row>
    <row r="10" spans="1:6" x14ac:dyDescent="0.2">
      <c r="A10" t="s">
        <v>73</v>
      </c>
      <c r="B10" t="s">
        <v>98</v>
      </c>
      <c r="C10" t="s">
        <v>99</v>
      </c>
      <c r="D10" t="s">
        <v>100</v>
      </c>
      <c r="E10" t="s">
        <v>1088</v>
      </c>
      <c r="F10" t="s">
        <v>1089</v>
      </c>
    </row>
    <row r="11" spans="1:6" x14ac:dyDescent="0.2">
      <c r="A11" t="s">
        <v>73</v>
      </c>
      <c r="B11" t="s">
        <v>106</v>
      </c>
      <c r="C11" t="s">
        <v>107</v>
      </c>
      <c r="D11" t="s">
        <v>108</v>
      </c>
      <c r="E11" t="s">
        <v>1090</v>
      </c>
      <c r="F11" t="s">
        <v>1091</v>
      </c>
    </row>
    <row r="12" spans="1:6" x14ac:dyDescent="0.2">
      <c r="A12" t="s">
        <v>73</v>
      </c>
      <c r="B12" t="s">
        <v>111</v>
      </c>
      <c r="C12" t="s">
        <v>112</v>
      </c>
      <c r="D12" t="s">
        <v>113</v>
      </c>
      <c r="E12" t="s">
        <v>1092</v>
      </c>
      <c r="F12" t="s">
        <v>1093</v>
      </c>
    </row>
    <row r="13" spans="1:6" x14ac:dyDescent="0.2">
      <c r="A13" t="s">
        <v>73</v>
      </c>
      <c r="B13" t="s">
        <v>121</v>
      </c>
      <c r="C13" t="s">
        <v>122</v>
      </c>
      <c r="D13" t="s">
        <v>123</v>
      </c>
      <c r="E13" t="s">
        <v>1094</v>
      </c>
      <c r="F13" t="s">
        <v>1095</v>
      </c>
    </row>
    <row r="14" spans="1:6" x14ac:dyDescent="0.2">
      <c r="A14" t="s">
        <v>128</v>
      </c>
      <c r="B14" t="s">
        <v>129</v>
      </c>
      <c r="C14" t="s">
        <v>130</v>
      </c>
      <c r="D14" t="s">
        <v>131</v>
      </c>
      <c r="E14" t="s">
        <v>1096</v>
      </c>
      <c r="F14" t="s">
        <v>1097</v>
      </c>
    </row>
    <row r="15" spans="1:6" x14ac:dyDescent="0.2">
      <c r="A15" t="s">
        <v>128</v>
      </c>
      <c r="B15" t="s">
        <v>139</v>
      </c>
      <c r="C15" t="s">
        <v>140</v>
      </c>
      <c r="D15" t="s">
        <v>141</v>
      </c>
      <c r="E15" t="s">
        <v>1098</v>
      </c>
      <c r="F15" t="s">
        <v>1099</v>
      </c>
    </row>
    <row r="16" spans="1:6" x14ac:dyDescent="0.2">
      <c r="A16" t="s">
        <v>128</v>
      </c>
      <c r="B16" t="s">
        <v>148</v>
      </c>
      <c r="C16" t="s">
        <v>149</v>
      </c>
      <c r="D16" t="s">
        <v>150</v>
      </c>
      <c r="E16" t="s">
        <v>1100</v>
      </c>
      <c r="F16" t="s">
        <v>1101</v>
      </c>
    </row>
    <row r="17" spans="1:6" x14ac:dyDescent="0.2">
      <c r="A17" t="s">
        <v>128</v>
      </c>
      <c r="B17" t="s">
        <v>155</v>
      </c>
      <c r="C17" t="s">
        <v>156</v>
      </c>
      <c r="D17" t="s">
        <v>157</v>
      </c>
      <c r="E17" t="s">
        <v>1102</v>
      </c>
      <c r="F17" t="s">
        <v>1103</v>
      </c>
    </row>
    <row r="18" spans="1:6" x14ac:dyDescent="0.2">
      <c r="A18" t="s">
        <v>128</v>
      </c>
      <c r="B18" t="s">
        <v>164</v>
      </c>
      <c r="C18" t="s">
        <v>165</v>
      </c>
      <c r="D18" t="s">
        <v>166</v>
      </c>
      <c r="E18" t="s">
        <v>1104</v>
      </c>
      <c r="F18" t="s">
        <v>1105</v>
      </c>
    </row>
    <row r="19" spans="1:6" x14ac:dyDescent="0.2">
      <c r="A19" t="s">
        <v>128</v>
      </c>
      <c r="B19" t="s">
        <v>173</v>
      </c>
      <c r="C19" t="s">
        <v>174</v>
      </c>
      <c r="D19" t="s">
        <v>175</v>
      </c>
      <c r="E19" t="s">
        <v>1106</v>
      </c>
      <c r="F19" t="s">
        <v>1107</v>
      </c>
    </row>
    <row r="20" spans="1:6" x14ac:dyDescent="0.2">
      <c r="A20" t="s">
        <v>180</v>
      </c>
      <c r="B20" t="s">
        <v>181</v>
      </c>
      <c r="C20" t="s">
        <v>182</v>
      </c>
      <c r="D20" t="s">
        <v>1069</v>
      </c>
      <c r="E20" t="s">
        <v>1108</v>
      </c>
      <c r="F20" t="s">
        <v>1109</v>
      </c>
    </row>
    <row r="21" spans="1:6" x14ac:dyDescent="0.2">
      <c r="A21" t="s">
        <v>180</v>
      </c>
      <c r="B21" t="s">
        <v>190</v>
      </c>
      <c r="C21" t="s">
        <v>191</v>
      </c>
      <c r="D21" t="s">
        <v>192</v>
      </c>
      <c r="E21" t="s">
        <v>1110</v>
      </c>
      <c r="F21" t="s">
        <v>1111</v>
      </c>
    </row>
    <row r="22" spans="1:6" x14ac:dyDescent="0.2">
      <c r="A22" t="s">
        <v>180</v>
      </c>
      <c r="B22" t="s">
        <v>197</v>
      </c>
      <c r="C22" t="s">
        <v>198</v>
      </c>
      <c r="D22" t="s">
        <v>199</v>
      </c>
      <c r="E22" t="s">
        <v>1112</v>
      </c>
      <c r="F22" t="s">
        <v>1113</v>
      </c>
    </row>
    <row r="23" spans="1:6" x14ac:dyDescent="0.2">
      <c r="A23" t="s">
        <v>180</v>
      </c>
      <c r="B23" t="s">
        <v>206</v>
      </c>
      <c r="C23" t="s">
        <v>207</v>
      </c>
      <c r="D23" t="s">
        <v>208</v>
      </c>
      <c r="E23" t="s">
        <v>1114</v>
      </c>
      <c r="F23" t="s">
        <v>1115</v>
      </c>
    </row>
    <row r="24" spans="1:6" x14ac:dyDescent="0.2">
      <c r="A24" t="s">
        <v>180</v>
      </c>
      <c r="B24" t="s">
        <v>215</v>
      </c>
      <c r="C24" t="s">
        <v>216</v>
      </c>
      <c r="D24" t="s">
        <v>217</v>
      </c>
      <c r="E24" t="s">
        <v>1116</v>
      </c>
      <c r="F24" t="s">
        <v>1117</v>
      </c>
    </row>
    <row r="25" spans="1:6" x14ac:dyDescent="0.2">
      <c r="A25" t="s">
        <v>180</v>
      </c>
      <c r="B25" t="s">
        <v>223</v>
      </c>
      <c r="C25" t="s">
        <v>224</v>
      </c>
      <c r="D25" t="s">
        <v>225</v>
      </c>
      <c r="E25" t="s">
        <v>1118</v>
      </c>
      <c r="F25" t="s">
        <v>1119</v>
      </c>
    </row>
    <row r="26" spans="1:6" x14ac:dyDescent="0.2">
      <c r="A26" t="s">
        <v>230</v>
      </c>
      <c r="B26" t="s">
        <v>231</v>
      </c>
      <c r="C26" t="s">
        <v>232</v>
      </c>
      <c r="D26" t="s">
        <v>233</v>
      </c>
      <c r="E26" t="s">
        <v>1120</v>
      </c>
      <c r="F26" t="s">
        <v>1121</v>
      </c>
    </row>
    <row r="27" spans="1:6" x14ac:dyDescent="0.2">
      <c r="A27" t="s">
        <v>230</v>
      </c>
      <c r="B27" t="s">
        <v>239</v>
      </c>
      <c r="C27" t="s">
        <v>240</v>
      </c>
      <c r="D27" t="s">
        <v>241</v>
      </c>
      <c r="E27" t="s">
        <v>1122</v>
      </c>
      <c r="F27" t="s">
        <v>1123</v>
      </c>
    </row>
    <row r="28" spans="1:6" x14ac:dyDescent="0.2">
      <c r="A28" t="s">
        <v>230</v>
      </c>
      <c r="B28" t="s">
        <v>246</v>
      </c>
      <c r="C28" t="s">
        <v>247</v>
      </c>
      <c r="D28" t="s">
        <v>248</v>
      </c>
      <c r="E28" t="s">
        <v>1124</v>
      </c>
      <c r="F28" t="s">
        <v>1125</v>
      </c>
    </row>
    <row r="29" spans="1:6" x14ac:dyDescent="0.2">
      <c r="A29" t="s">
        <v>230</v>
      </c>
      <c r="B29" t="s">
        <v>252</v>
      </c>
      <c r="C29" t="s">
        <v>253</v>
      </c>
      <c r="D29" t="s">
        <v>254</v>
      </c>
      <c r="E29" t="s">
        <v>1126</v>
      </c>
      <c r="F29" t="s">
        <v>1127</v>
      </c>
    </row>
    <row r="30" spans="1:6" x14ac:dyDescent="0.2">
      <c r="A30" t="s">
        <v>230</v>
      </c>
      <c r="B30" t="s">
        <v>259</v>
      </c>
      <c r="C30" t="s">
        <v>260</v>
      </c>
      <c r="D30" t="s">
        <v>261</v>
      </c>
      <c r="E30" t="s">
        <v>1128</v>
      </c>
      <c r="F30" t="s">
        <v>1129</v>
      </c>
    </row>
    <row r="31" spans="1:6" x14ac:dyDescent="0.2">
      <c r="A31" t="s">
        <v>230</v>
      </c>
      <c r="B31" t="s">
        <v>264</v>
      </c>
      <c r="C31" t="s">
        <v>265</v>
      </c>
      <c r="D31" t="s">
        <v>266</v>
      </c>
      <c r="E31" t="s">
        <v>1130</v>
      </c>
      <c r="F31" t="s">
        <v>1131</v>
      </c>
    </row>
    <row r="32" spans="1:6" x14ac:dyDescent="0.2">
      <c r="A32" t="s">
        <v>269</v>
      </c>
      <c r="B32" t="s">
        <v>270</v>
      </c>
      <c r="C32" t="s">
        <v>271</v>
      </c>
      <c r="D32" t="s">
        <v>272</v>
      </c>
      <c r="E32" t="s">
        <v>1132</v>
      </c>
      <c r="F32" t="s">
        <v>1133</v>
      </c>
    </row>
    <row r="33" spans="1:6" x14ac:dyDescent="0.2">
      <c r="A33" t="s">
        <v>269</v>
      </c>
      <c r="B33" t="s">
        <v>277</v>
      </c>
      <c r="C33" t="s">
        <v>278</v>
      </c>
      <c r="D33" t="s">
        <v>279</v>
      </c>
      <c r="E33" t="s">
        <v>1134</v>
      </c>
      <c r="F33" t="s">
        <v>1135</v>
      </c>
    </row>
    <row r="34" spans="1:6" x14ac:dyDescent="0.2">
      <c r="A34" t="s">
        <v>269</v>
      </c>
      <c r="B34" t="s">
        <v>283</v>
      </c>
      <c r="C34" t="s">
        <v>284</v>
      </c>
      <c r="D34" t="s">
        <v>285</v>
      </c>
      <c r="E34" t="s">
        <v>1136</v>
      </c>
      <c r="F34" t="s">
        <v>1137</v>
      </c>
    </row>
    <row r="35" spans="1:6" x14ac:dyDescent="0.2">
      <c r="A35" t="s">
        <v>269</v>
      </c>
      <c r="B35" t="s">
        <v>289</v>
      </c>
      <c r="C35" t="s">
        <v>290</v>
      </c>
      <c r="D35" t="s">
        <v>291</v>
      </c>
      <c r="E35" t="s">
        <v>1138</v>
      </c>
      <c r="F35" t="s">
        <v>1139</v>
      </c>
    </row>
    <row r="36" spans="1:6" x14ac:dyDescent="0.2">
      <c r="A36" t="s">
        <v>269</v>
      </c>
      <c r="B36" t="s">
        <v>296</v>
      </c>
      <c r="C36" t="s">
        <v>297</v>
      </c>
      <c r="D36" t="s">
        <v>298</v>
      </c>
      <c r="E36" t="s">
        <v>1140</v>
      </c>
      <c r="F36" t="s">
        <v>1141</v>
      </c>
    </row>
    <row r="37" spans="1:6" x14ac:dyDescent="0.2">
      <c r="A37" t="s">
        <v>303</v>
      </c>
      <c r="B37" t="s">
        <v>304</v>
      </c>
      <c r="C37" t="s">
        <v>305</v>
      </c>
      <c r="D37" t="s">
        <v>306</v>
      </c>
      <c r="E37" t="s">
        <v>1142</v>
      </c>
      <c r="F37" t="s">
        <v>1143</v>
      </c>
    </row>
    <row r="38" spans="1:6" x14ac:dyDescent="0.2">
      <c r="A38" t="s">
        <v>303</v>
      </c>
      <c r="B38" t="s">
        <v>312</v>
      </c>
      <c r="C38" t="s">
        <v>313</v>
      </c>
      <c r="D38" t="s">
        <v>314</v>
      </c>
      <c r="E38" t="s">
        <v>1144</v>
      </c>
      <c r="F38" t="s">
        <v>1145</v>
      </c>
    </row>
    <row r="39" spans="1:6" x14ac:dyDescent="0.2">
      <c r="A39" t="s">
        <v>303</v>
      </c>
      <c r="B39" t="s">
        <v>318</v>
      </c>
      <c r="C39" t="s">
        <v>319</v>
      </c>
      <c r="D39" t="s">
        <v>320</v>
      </c>
      <c r="E39" t="s">
        <v>1146</v>
      </c>
      <c r="F39" t="s">
        <v>1147</v>
      </c>
    </row>
    <row r="40" spans="1:6" x14ac:dyDescent="0.2">
      <c r="A40" t="s">
        <v>303</v>
      </c>
      <c r="B40" t="s">
        <v>324</v>
      </c>
      <c r="C40" t="s">
        <v>325</v>
      </c>
      <c r="D40" t="s">
        <v>326</v>
      </c>
      <c r="E40" t="s">
        <v>1148</v>
      </c>
      <c r="F40" t="s">
        <v>1149</v>
      </c>
    </row>
    <row r="41" spans="1:6" x14ac:dyDescent="0.2">
      <c r="A41" t="s">
        <v>303</v>
      </c>
      <c r="B41" t="s">
        <v>333</v>
      </c>
      <c r="C41" t="s">
        <v>334</v>
      </c>
      <c r="D41" t="s">
        <v>335</v>
      </c>
      <c r="E41" t="s">
        <v>1150</v>
      </c>
      <c r="F41" t="s">
        <v>1151</v>
      </c>
    </row>
    <row r="42" spans="1:6" x14ac:dyDescent="0.2">
      <c r="A42" t="s">
        <v>303</v>
      </c>
      <c r="B42" t="s">
        <v>339</v>
      </c>
      <c r="C42" t="s">
        <v>340</v>
      </c>
      <c r="D42" t="s">
        <v>341</v>
      </c>
      <c r="E42" t="s">
        <v>1152</v>
      </c>
      <c r="F42" t="s">
        <v>1153</v>
      </c>
    </row>
  </sheetData>
  <sheetProtection algorithmName="SHA-512" hashValue="X0/KrfK7afwXlUPPm+qKeXe4A604age0S6tuKz7lMRLLRjyaeOzhBKIyxOffEgsvTNaXsfKikyWcpazu0eSwDQ==" saltValue="GPccjNTZqzyZZD26x3Y78w==" spinCount="100000" sheet="1" formatCells="0" formatColumns="0" formatRows="0" insertColumns="0" insertRows="0" insertHyperlinks="0" deleteColumns="0" deleteRows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="210" zoomScaleNormal="210" workbookViewId="0">
      <selection activeCell="B31" sqref="B31"/>
    </sheetView>
  </sheetViews>
  <sheetFormatPr baseColWidth="10" defaultColWidth="8.83203125" defaultRowHeight="15" x14ac:dyDescent="0.2"/>
  <sheetData>
    <row r="1" spans="1:1" x14ac:dyDescent="0.2">
      <c r="A1" s="1" t="s">
        <v>893</v>
      </c>
    </row>
    <row r="2" spans="1:1" x14ac:dyDescent="0.2">
      <c r="A2" t="s">
        <v>894</v>
      </c>
    </row>
    <row r="3" spans="1:1" x14ac:dyDescent="0.2">
      <c r="A3" t="s">
        <v>895</v>
      </c>
    </row>
  </sheetData>
  <sheetProtection algorithmName="SHA-512" hashValue="FVn5fSGafMvz+JQcH6xbfVocAKrsx93OwOGrYy93NSakrwv7c4IKAZONKuV9O7uRyv9EPrJ+GN+velpQGfFuLw==" saltValue="KJh+LnGLFybEPJ/GyBaNuA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zoomScale="180" zoomScaleNormal="180" workbookViewId="0">
      <selection activeCell="B28" sqref="B28"/>
    </sheetView>
  </sheetViews>
  <sheetFormatPr baseColWidth="10" defaultColWidth="8.83203125" defaultRowHeight="15" x14ac:dyDescent="0.2"/>
  <cols>
    <col min="1" max="1" width="22" bestFit="1" customWidth="1"/>
    <col min="2" max="2" width="70.33203125" bestFit="1" customWidth="1"/>
  </cols>
  <sheetData>
    <row r="1" spans="1:2" x14ac:dyDescent="0.2">
      <c r="A1" s="15" t="s">
        <v>896</v>
      </c>
      <c r="B1" s="16" t="s">
        <v>2</v>
      </c>
    </row>
    <row r="2" spans="1:2" x14ac:dyDescent="0.2">
      <c r="A2" s="17" t="s">
        <v>196</v>
      </c>
      <c r="B2" s="17" t="s">
        <v>897</v>
      </c>
    </row>
    <row r="3" spans="1:2" x14ac:dyDescent="0.2">
      <c r="A3" s="18" t="s">
        <v>120</v>
      </c>
      <c r="B3" s="18" t="s">
        <v>898</v>
      </c>
    </row>
    <row r="4" spans="1:2" x14ac:dyDescent="0.2">
      <c r="A4" s="18" t="s">
        <v>105</v>
      </c>
      <c r="B4" s="18" t="s">
        <v>899</v>
      </c>
    </row>
    <row r="5" spans="1:2" x14ac:dyDescent="0.2">
      <c r="A5" s="18" t="s">
        <v>509</v>
      </c>
      <c r="B5" s="18" t="s">
        <v>900</v>
      </c>
    </row>
    <row r="6" spans="1:2" x14ac:dyDescent="0.2">
      <c r="A6" s="18" t="s">
        <v>389</v>
      </c>
      <c r="B6" s="18" t="s">
        <v>901</v>
      </c>
    </row>
    <row r="7" spans="1:2" x14ac:dyDescent="0.2">
      <c r="A7" s="18" t="s">
        <v>91</v>
      </c>
      <c r="B7" s="18" t="s">
        <v>902</v>
      </c>
    </row>
    <row r="8" spans="1:2" x14ac:dyDescent="0.2">
      <c r="A8" s="18" t="s">
        <v>311</v>
      </c>
      <c r="B8" s="18" t="s">
        <v>903</v>
      </c>
    </row>
    <row r="9" spans="1:2" x14ac:dyDescent="0.2">
      <c r="A9" s="18" t="s">
        <v>163</v>
      </c>
      <c r="B9" s="18" t="s">
        <v>904</v>
      </c>
    </row>
    <row r="10" spans="1:2" x14ac:dyDescent="0.2">
      <c r="A10" s="18" t="s">
        <v>572</v>
      </c>
      <c r="B10" s="18" t="s">
        <v>905</v>
      </c>
    </row>
    <row r="11" spans="1:2" x14ac:dyDescent="0.2">
      <c r="A11" s="18" t="s">
        <v>906</v>
      </c>
      <c r="B11" s="18" t="s">
        <v>907</v>
      </c>
    </row>
    <row r="12" spans="1:2" x14ac:dyDescent="0.2">
      <c r="A12" s="18" t="s">
        <v>613</v>
      </c>
      <c r="B12" s="18" t="s">
        <v>908</v>
      </c>
    </row>
    <row r="13" spans="1:2" x14ac:dyDescent="0.2">
      <c r="A13" s="18" t="s">
        <v>466</v>
      </c>
      <c r="B13" s="18" t="s">
        <v>909</v>
      </c>
    </row>
    <row r="14" spans="1:2" x14ac:dyDescent="0.2">
      <c r="A14" s="18" t="s">
        <v>484</v>
      </c>
      <c r="B14" s="18" t="s">
        <v>910</v>
      </c>
    </row>
    <row r="15" spans="1:2" x14ac:dyDescent="0.2">
      <c r="A15" s="18" t="s">
        <v>700</v>
      </c>
      <c r="B15" s="18" t="s">
        <v>911</v>
      </c>
    </row>
    <row r="16" spans="1:2" x14ac:dyDescent="0.2">
      <c r="A16" s="18" t="s">
        <v>683</v>
      </c>
      <c r="B16" s="18" t="s">
        <v>912</v>
      </c>
    </row>
    <row r="17" spans="1:2" x14ac:dyDescent="0.2">
      <c r="A17" s="18" t="s">
        <v>659</v>
      </c>
      <c r="B17" s="18" t="s">
        <v>913</v>
      </c>
    </row>
    <row r="18" spans="1:2" x14ac:dyDescent="0.2">
      <c r="A18" s="18" t="s">
        <v>914</v>
      </c>
      <c r="B18" s="18" t="s">
        <v>915</v>
      </c>
    </row>
    <row r="19" spans="1:2" x14ac:dyDescent="0.2">
      <c r="A19" s="19" t="s">
        <v>49</v>
      </c>
      <c r="B19" s="19"/>
    </row>
  </sheetData>
  <sheetProtection algorithmName="SHA-512" hashValue="/hCVmBP0LtuQZIWYfAZFWOcULROZWasi44FxonAIXc7pMX31+wa/DZ/GmPjU7DwDDcPumnFMd7Nd9fV/OBKPOw==" saltValue="vzV/qslGuVpTmblURYI+7w==" spinCount="100000" sheet="1" formatCells="0" formatColumns="0" formatRows="0" insertColumns="0" insertRows="0" insertHyperlinks="0" deleteColumns="0" deleteRows="0" autoFilter="0" pivotTables="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zoomScale="230" zoomScaleNormal="230" workbookViewId="0">
      <selection activeCell="B31" sqref="B31"/>
    </sheetView>
  </sheetViews>
  <sheetFormatPr baseColWidth="10" defaultColWidth="8.83203125" defaultRowHeight="15" x14ac:dyDescent="0.2"/>
  <sheetData>
    <row r="1" spans="1:1" x14ac:dyDescent="0.2">
      <c r="A1" s="1" t="s">
        <v>11</v>
      </c>
    </row>
    <row r="2" spans="1:1" x14ac:dyDescent="0.2">
      <c r="A2" t="s">
        <v>48</v>
      </c>
    </row>
    <row r="3" spans="1:1" x14ac:dyDescent="0.2">
      <c r="A3" t="s">
        <v>37</v>
      </c>
    </row>
    <row r="4" spans="1:1" x14ac:dyDescent="0.2">
      <c r="A4" t="s">
        <v>229</v>
      </c>
    </row>
  </sheetData>
  <sheetProtection algorithmName="SHA-512" hashValue="13WQ2XcKGegH5DlneURdMcn9LJEPeZWP3jOkpDWetHK/xls4e6Ru8brPjgXCeEN/UqyKaUa7GgvPqHv1QppeZg==" saltValue="ljIKzL3AEELcWAf2xsfQtA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zoomScale="190" zoomScaleNormal="190" workbookViewId="0">
      <selection activeCell="B31" sqref="B31"/>
    </sheetView>
  </sheetViews>
  <sheetFormatPr baseColWidth="10" defaultColWidth="8.83203125" defaultRowHeight="15" x14ac:dyDescent="0.2"/>
  <cols>
    <col min="1" max="1" width="10" style="4" bestFit="1" customWidth="1"/>
    <col min="2" max="2" width="78.33203125" style="4" bestFit="1" customWidth="1"/>
    <col min="3" max="3" width="35.83203125" style="4" bestFit="1" customWidth="1"/>
    <col min="4" max="6" width="8.83203125" style="4"/>
    <col min="7" max="7" width="0" style="4" hidden="1" customWidth="1"/>
    <col min="8" max="16384" width="8.83203125" style="4"/>
  </cols>
  <sheetData>
    <row r="1" spans="1:7" x14ac:dyDescent="0.2">
      <c r="A1" s="2" t="s">
        <v>10</v>
      </c>
      <c r="B1" s="5" t="s">
        <v>967</v>
      </c>
      <c r="C1" s="5" t="s">
        <v>968</v>
      </c>
      <c r="G1" s="3" t="s">
        <v>1004</v>
      </c>
    </row>
    <row r="2" spans="1:7" x14ac:dyDescent="0.2">
      <c r="A2" s="26" t="s">
        <v>36</v>
      </c>
      <c r="B2" s="12" t="s">
        <v>969</v>
      </c>
      <c r="C2" s="6" t="s">
        <v>977</v>
      </c>
      <c r="G2" s="6" t="s">
        <v>36</v>
      </c>
    </row>
    <row r="3" spans="1:7" x14ac:dyDescent="0.2">
      <c r="A3" s="26"/>
      <c r="C3" s="6" t="s">
        <v>978</v>
      </c>
      <c r="G3" s="6" t="s">
        <v>465</v>
      </c>
    </row>
    <row r="4" spans="1:7" x14ac:dyDescent="0.2">
      <c r="A4" s="26"/>
      <c r="B4" s="10"/>
      <c r="C4" s="6" t="s">
        <v>979</v>
      </c>
      <c r="G4" s="6" t="s">
        <v>238</v>
      </c>
    </row>
    <row r="5" spans="1:7" x14ac:dyDescent="0.2">
      <c r="A5" s="26"/>
      <c r="B5" s="13"/>
      <c r="C5" s="6" t="s">
        <v>980</v>
      </c>
      <c r="G5" s="6" t="s">
        <v>162</v>
      </c>
    </row>
    <row r="6" spans="1:7" x14ac:dyDescent="0.2">
      <c r="A6" s="26" t="s">
        <v>465</v>
      </c>
      <c r="B6" s="12" t="s">
        <v>970</v>
      </c>
      <c r="C6" s="6" t="s">
        <v>981</v>
      </c>
      <c r="G6" s="6" t="s">
        <v>302</v>
      </c>
    </row>
    <row r="7" spans="1:7" x14ac:dyDescent="0.2">
      <c r="A7" s="26"/>
      <c r="B7" s="14"/>
      <c r="C7" s="6" t="s">
        <v>982</v>
      </c>
      <c r="G7" s="6" t="s">
        <v>146</v>
      </c>
    </row>
    <row r="8" spans="1:7" x14ac:dyDescent="0.2">
      <c r="A8" s="26"/>
      <c r="C8" s="6" t="s">
        <v>983</v>
      </c>
      <c r="G8" s="6" t="s">
        <v>83</v>
      </c>
    </row>
    <row r="9" spans="1:7" x14ac:dyDescent="0.2">
      <c r="A9" s="26" t="s">
        <v>238</v>
      </c>
      <c r="B9" s="7" t="s">
        <v>971</v>
      </c>
      <c r="C9" s="6" t="s">
        <v>984</v>
      </c>
      <c r="G9" s="6" t="s">
        <v>524</v>
      </c>
    </row>
    <row r="10" spans="1:7" x14ac:dyDescent="0.2">
      <c r="A10" s="26"/>
      <c r="B10" s="11"/>
      <c r="C10" s="6" t="s">
        <v>985</v>
      </c>
      <c r="G10"/>
    </row>
    <row r="11" spans="1:7" x14ac:dyDescent="0.2">
      <c r="A11" s="26"/>
      <c r="B11" s="9"/>
      <c r="C11" s="6" t="s">
        <v>986</v>
      </c>
      <c r="G11"/>
    </row>
    <row r="12" spans="1:7" x14ac:dyDescent="0.2">
      <c r="A12" s="26" t="s">
        <v>162</v>
      </c>
      <c r="B12" s="8" t="s">
        <v>972</v>
      </c>
      <c r="C12" s="6" t="s">
        <v>987</v>
      </c>
      <c r="G12"/>
    </row>
    <row r="13" spans="1:7" x14ac:dyDescent="0.2">
      <c r="A13" s="26"/>
      <c r="B13" s="11"/>
      <c r="C13" s="6" t="s">
        <v>988</v>
      </c>
    </row>
    <row r="14" spans="1:7" x14ac:dyDescent="0.2">
      <c r="A14" s="26"/>
      <c r="B14" s="9"/>
      <c r="C14" s="6" t="s">
        <v>989</v>
      </c>
    </row>
    <row r="15" spans="1:7" x14ac:dyDescent="0.2">
      <c r="A15" s="26" t="s">
        <v>302</v>
      </c>
      <c r="B15" s="12" t="s">
        <v>973</v>
      </c>
      <c r="C15" s="6" t="s">
        <v>990</v>
      </c>
    </row>
    <row r="16" spans="1:7" x14ac:dyDescent="0.2">
      <c r="A16" s="26"/>
      <c r="C16" s="6" t="s">
        <v>991</v>
      </c>
    </row>
    <row r="17" spans="1:7" x14ac:dyDescent="0.2">
      <c r="A17" s="26"/>
      <c r="B17" s="13"/>
      <c r="C17" s="6" t="s">
        <v>992</v>
      </c>
    </row>
    <row r="18" spans="1:7" x14ac:dyDescent="0.2">
      <c r="A18" s="26" t="s">
        <v>146</v>
      </c>
      <c r="B18" s="12" t="s">
        <v>974</v>
      </c>
      <c r="C18" s="6" t="s">
        <v>993</v>
      </c>
    </row>
    <row r="19" spans="1:7" x14ac:dyDescent="0.2">
      <c r="A19" s="26"/>
      <c r="B19" s="11"/>
      <c r="C19" s="6" t="s">
        <v>994</v>
      </c>
    </row>
    <row r="20" spans="1:7" x14ac:dyDescent="0.2">
      <c r="A20" s="26"/>
      <c r="B20" s="9"/>
      <c r="C20" s="6" t="s">
        <v>995</v>
      </c>
    </row>
    <row r="21" spans="1:7" x14ac:dyDescent="0.2">
      <c r="A21" s="26" t="s">
        <v>83</v>
      </c>
      <c r="B21" s="8" t="s">
        <v>975</v>
      </c>
      <c r="C21" s="6" t="s">
        <v>996</v>
      </c>
    </row>
    <row r="22" spans="1:7" x14ac:dyDescent="0.2">
      <c r="A22" s="26"/>
      <c r="B22" s="11"/>
      <c r="C22" s="6" t="s">
        <v>997</v>
      </c>
    </row>
    <row r="23" spans="1:7" x14ac:dyDescent="0.2">
      <c r="A23" s="26"/>
      <c r="B23" s="11"/>
      <c r="C23" s="6" t="s">
        <v>998</v>
      </c>
    </row>
    <row r="24" spans="1:7" x14ac:dyDescent="0.2">
      <c r="A24" s="26"/>
      <c r="B24" s="9"/>
      <c r="C24" s="6" t="s">
        <v>999</v>
      </c>
    </row>
    <row r="25" spans="1:7" x14ac:dyDescent="0.2">
      <c r="A25" s="26" t="s">
        <v>524</v>
      </c>
      <c r="B25" s="12" t="s">
        <v>976</v>
      </c>
      <c r="C25" s="6" t="s">
        <v>1000</v>
      </c>
    </row>
    <row r="26" spans="1:7" x14ac:dyDescent="0.2">
      <c r="A26" s="26"/>
      <c r="C26" s="6" t="s">
        <v>1001</v>
      </c>
      <c r="G26"/>
    </row>
    <row r="27" spans="1:7" x14ac:dyDescent="0.2">
      <c r="A27" s="26"/>
      <c r="B27" s="11"/>
      <c r="C27" s="6" t="s">
        <v>1002</v>
      </c>
      <c r="G27"/>
    </row>
    <row r="28" spans="1:7" x14ac:dyDescent="0.2">
      <c r="A28" s="26"/>
      <c r="B28" s="9"/>
      <c r="C28" s="6" t="s">
        <v>1003</v>
      </c>
      <c r="G28"/>
    </row>
  </sheetData>
  <sheetProtection algorithmName="SHA-512" hashValue="klt3mYiOx3+t/OkmLr+kEvUerge7ktzak4x5pAxRmJa1vbkw7vpMly6aVX8OkPJpJbha8JDjAvqwI60veaWbVA==" saltValue="vinPWo9IEa2qjfLg+YS7SQ==" spinCount="100000" sheet="1" formatCells="0" formatColumns="0" formatRows="0" insertColumns="0" insertRows="0" insertHyperlinks="0" deleteColumns="0" deleteRows="0" autoFilter="0" pivotTables="0"/>
  <mergeCells count="8">
    <mergeCell ref="A2:A5"/>
    <mergeCell ref="A6:A8"/>
    <mergeCell ref="A9:A11"/>
    <mergeCell ref="A21:A24"/>
    <mergeCell ref="A25:A28"/>
    <mergeCell ref="A12:A14"/>
    <mergeCell ref="A15:A17"/>
    <mergeCell ref="A18:A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zoomScale="324" zoomScaleNormal="324" workbookViewId="0">
      <selection activeCell="B31" sqref="B31"/>
    </sheetView>
  </sheetViews>
  <sheetFormatPr baseColWidth="10" defaultColWidth="8.83203125" defaultRowHeight="15" x14ac:dyDescent="0.2"/>
  <cols>
    <col min="1" max="1" width="12.33203125" bestFit="1" customWidth="1"/>
  </cols>
  <sheetData>
    <row r="1" spans="1:1" x14ac:dyDescent="0.2">
      <c r="A1" s="1" t="s">
        <v>13</v>
      </c>
    </row>
    <row r="2" spans="1:1" x14ac:dyDescent="0.2">
      <c r="A2" t="s">
        <v>38</v>
      </c>
    </row>
    <row r="3" spans="1:1" x14ac:dyDescent="0.2">
      <c r="A3" t="s">
        <v>916</v>
      </c>
    </row>
    <row r="4" spans="1:1" x14ac:dyDescent="0.2">
      <c r="A4" t="s">
        <v>917</v>
      </c>
    </row>
    <row r="5" spans="1:1" x14ac:dyDescent="0.2">
      <c r="A5" t="s">
        <v>918</v>
      </c>
    </row>
    <row r="6" spans="1:1" x14ac:dyDescent="0.2">
      <c r="A6" t="s">
        <v>919</v>
      </c>
    </row>
    <row r="7" spans="1:1" x14ac:dyDescent="0.2">
      <c r="A7" t="s">
        <v>920</v>
      </c>
    </row>
  </sheetData>
  <sheetProtection algorithmName="SHA-512" hashValue="lOrhoj+SdrY7C838L42loVVAMYdgIf346lJ0v/4EmEWjn72Z20eaNYa8+f3V29zhcAuGmnGNbTW4DWdvzih0pg==" saltValue="FxlQDODPKlfzSWjX7G/diA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zoomScale="400" zoomScaleNormal="400" workbookViewId="0">
      <selection activeCell="B31" sqref="B31"/>
    </sheetView>
  </sheetViews>
  <sheetFormatPr baseColWidth="10" defaultColWidth="8.83203125" defaultRowHeight="15" x14ac:dyDescent="0.2"/>
  <sheetData>
    <row r="1" spans="1:1" x14ac:dyDescent="0.2">
      <c r="A1" s="1" t="s">
        <v>921</v>
      </c>
    </row>
    <row r="2" spans="1:1" x14ac:dyDescent="0.2">
      <c r="A2" t="s">
        <v>41</v>
      </c>
    </row>
    <row r="3" spans="1:1" x14ac:dyDescent="0.2">
      <c r="A3" t="s">
        <v>922</v>
      </c>
    </row>
    <row r="4" spans="1:1" x14ac:dyDescent="0.2">
      <c r="A4" t="s">
        <v>923</v>
      </c>
    </row>
  </sheetData>
  <sheetProtection algorithmName="SHA-512" hashValue="SAdNGGxP7doR6P394jQEfBAr19ebBMymt3j8Wi2ZWUoDSiLWLydPq8gzVySOBBQiwObr9bi0vemc0E6p75ekoQ==" saltValue="GSX6og/CBZKwdOGYMxNw0A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zoomScale="282" zoomScaleNormal="282" workbookViewId="0">
      <selection activeCell="B31" sqref="B31"/>
    </sheetView>
  </sheetViews>
  <sheetFormatPr baseColWidth="10" defaultColWidth="8.83203125" defaultRowHeight="15" x14ac:dyDescent="0.2"/>
  <sheetData>
    <row r="1" spans="1:1" x14ac:dyDescent="0.2">
      <c r="A1" s="1" t="s">
        <v>924</v>
      </c>
    </row>
    <row r="2" spans="1:1" x14ac:dyDescent="0.2">
      <c r="A2" t="s">
        <v>925</v>
      </c>
    </row>
    <row r="3" spans="1:1" x14ac:dyDescent="0.2">
      <c r="A3" t="s">
        <v>39</v>
      </c>
    </row>
  </sheetData>
  <sheetProtection algorithmName="SHA-512" hashValue="RTj6KD/4UOIxo6lzG7+ZPfS/IhwKkU7sbuxWdemN9qWveeyJSSOZhKgsUhlIr1t2bm+AzNAqUVZD63h+XR5z2Q==" saltValue="jfJUcTUofCyxipOZc+1qrQ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Checklist</vt:lpstr>
      <vt:lpstr>Control_Description</vt:lpstr>
      <vt:lpstr>Ref_Applicable</vt:lpstr>
      <vt:lpstr>Ref_UseCases</vt:lpstr>
      <vt:lpstr>Ref_Priority</vt:lpstr>
      <vt:lpstr>Ref_Frequency</vt:lpstr>
      <vt:lpstr>Ref_Status</vt:lpstr>
      <vt:lpstr>Ref_Approval</vt:lpstr>
      <vt:lpstr>Ref_YesNo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Saini</cp:lastModifiedBy>
  <dcterms:created xsi:type="dcterms:W3CDTF">2026-02-13T18:37:28Z</dcterms:created>
  <dcterms:modified xsi:type="dcterms:W3CDTF">2026-02-18T15:36:52Z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862f3f-b440-4715-a4ea-1c5f86db270b_Enabled">
    <vt:lpwstr>true</vt:lpwstr>
  </property>
  <property fmtid="{D5CDD505-2E9C-101B-9397-08002B2CF9AE}" pid="3" name="MSIP_Label_87862f3f-b440-4715-a4ea-1c5f86db270b_SetDate">
    <vt:lpwstr>2026-02-18T15:36:52Z</vt:lpwstr>
  </property>
  <property fmtid="{D5CDD505-2E9C-101B-9397-08002B2CF9AE}" pid="4" name="MSIP_Label_87862f3f-b440-4715-a4ea-1c5f86db270b_Method">
    <vt:lpwstr>Privileged</vt:lpwstr>
  </property>
  <property fmtid="{D5CDD505-2E9C-101B-9397-08002B2CF9AE}" pid="5" name="MSIP_Label_87862f3f-b440-4715-a4ea-1c5f86db270b_Name">
    <vt:lpwstr>Public</vt:lpwstr>
  </property>
  <property fmtid="{D5CDD505-2E9C-101B-9397-08002B2CF9AE}" pid="6" name="MSIP_Label_87862f3f-b440-4715-a4ea-1c5f86db270b_SiteId">
    <vt:lpwstr>70e1fb47-1155-421d-87fc-2e58f638b6e0</vt:lpwstr>
  </property>
  <property fmtid="{D5CDD505-2E9C-101B-9397-08002B2CF9AE}" pid="7" name="MSIP_Label_87862f3f-b440-4715-a4ea-1c5f86db270b_ActionId">
    <vt:lpwstr>b55ee2ea-1453-407a-8d7b-ec8e88eab884</vt:lpwstr>
  </property>
  <property fmtid="{D5CDD505-2E9C-101B-9397-08002B2CF9AE}" pid="8" name="MSIP_Label_87862f3f-b440-4715-a4ea-1c5f86db270b_ContentBits">
    <vt:lpwstr>0</vt:lpwstr>
  </property>
  <property fmtid="{D5CDD505-2E9C-101B-9397-08002B2CF9AE}" pid="9" name="MSIP_Label_87862f3f-b440-4715-a4ea-1c5f86db270b_Tag">
    <vt:lpwstr>50, 0, 1, 1</vt:lpwstr>
  </property>
</Properties>
</file>